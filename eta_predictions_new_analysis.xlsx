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parinwarispangprasertgul/Desktop/bus_eta_prediction/"/>
    </mc:Choice>
  </mc:AlternateContent>
  <xr:revisionPtr revIDLastSave="0" documentId="8_{5FE80F20-9C40-7149-88F5-1416ADF22CDD}" xr6:coauthVersionLast="47" xr6:coauthVersionMax="47" xr10:uidLastSave="{00000000-0000-0000-0000-000000000000}"/>
  <bookViews>
    <workbookView xWindow="1900" yWindow="1800" windowWidth="27240" windowHeight="16440" xr2:uid="{760B09C8-94B4-284A-B42F-C83BD6275A0E}"/>
  </bookViews>
  <sheets>
    <sheet name="Detail1" sheetId="4" r:id="rId1"/>
    <sheet name="Sheet1" sheetId="2" r:id="rId2"/>
    <sheet name="eta_predictions_new" sheetId="1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2" i="1"/>
</calcChain>
</file>

<file path=xl/sharedStrings.xml><?xml version="1.0" encoding="utf-8"?>
<sst xmlns="http://schemas.openxmlformats.org/spreadsheetml/2006/main" count="173" uniqueCount="24">
  <si>
    <t>licence</t>
  </si>
  <si>
    <t>route</t>
  </si>
  <si>
    <t>start_bus_index</t>
  </si>
  <si>
    <t>target_km_interval</t>
  </si>
  <si>
    <t>target_index</t>
  </si>
  <si>
    <t>predicted_eta_min</t>
  </si>
  <si>
    <t>prediction_timestamp</t>
  </si>
  <si>
    <t>predicted_arrival_time</t>
  </si>
  <si>
    <t>actual_arrival_time</t>
  </si>
  <si>
    <t>time_difference_min</t>
  </si>
  <si>
    <t>10-1265</t>
  </si>
  <si>
    <t>Dragon Line</t>
  </si>
  <si>
    <t>10-1221</t>
  </si>
  <si>
    <t>Bus 2 -&gt; Bus 1 -&gt; Patong</t>
  </si>
  <si>
    <t>10-1223</t>
  </si>
  <si>
    <t>Patong -&gt; Bus 1 -&gt; Bus 2</t>
  </si>
  <si>
    <t>10-1210</t>
  </si>
  <si>
    <t>Airport -&gt; Rawai</t>
  </si>
  <si>
    <t>round</t>
  </si>
  <si>
    <t>Row Labels</t>
  </si>
  <si>
    <t>(blank)</t>
  </si>
  <si>
    <t>Grand Total</t>
  </si>
  <si>
    <t>Count of round</t>
  </si>
  <si>
    <t>Details for Count of round - round: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</si>
</sst>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2" fontId="0" fillId="0" borderId="0" xfId="0" applyNumberFormat="1"/>
    <xf numFmtId="0" fontId="16" fillId="0" borderId="0" xfId="0" applyFon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7" formatCode="d/m/yyyy\ hh:mm"/>
    </dxf>
    <dxf>
      <numFmt numFmtId="27" formatCode="d/m/yyyy\ hh:mm"/>
    </dxf>
    <dxf>
      <numFmt numFmtId="27" formatCode="d/m/yyyy\ hh:mm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inwaris Pangprasertgul" refreshedDate="45980.509042361111" createdVersion="8" refreshedVersion="8" minRefreshableVersion="3" recordCount="142" xr:uid="{6FC1D61D-376B-B74F-B6B1-FDF946146C56}">
  <cacheSource type="worksheet">
    <worksheetSource ref="A1:K1048576" sheet="eta_predictions_new"/>
  </cacheSource>
  <cacheFields count="11">
    <cacheField name="licence" numFmtId="0">
      <sharedItems containsBlank="1"/>
    </cacheField>
    <cacheField name="route" numFmtId="0">
      <sharedItems containsBlank="1"/>
    </cacheField>
    <cacheField name="start_bus_index" numFmtId="0">
      <sharedItems containsString="0" containsBlank="1" containsNumber="1" containsInteger="1" minValue="220" maxValue="3324"/>
    </cacheField>
    <cacheField name="target_km_interval" numFmtId="0">
      <sharedItems containsString="0" containsBlank="1" containsNumber="1" containsInteger="1" minValue="2" maxValue="42"/>
    </cacheField>
    <cacheField name="target_index" numFmtId="0">
      <sharedItems containsString="0" containsBlank="1" containsNumber="1" containsInteger="1" minValue="400" maxValue="8400"/>
    </cacheField>
    <cacheField name="predicted_eta_min" numFmtId="0">
      <sharedItems containsString="0" containsBlank="1" containsNumber="1" containsInteger="1" minValue="0" maxValue="79"/>
    </cacheField>
    <cacheField name="prediction_timestamp" numFmtId="0">
      <sharedItems containsNonDate="0" containsDate="1" containsString="0" containsBlank="1" minDate="2025-11-19T10:35:46" maxDate="2025-11-19T10:35:46"/>
    </cacheField>
    <cacheField name="predicted_arrival_time" numFmtId="0">
      <sharedItems containsNonDate="0" containsDate="1" containsString="0" containsBlank="1" minDate="2025-11-19T10:35:46" maxDate="2025-11-19T11:54:46"/>
    </cacheField>
    <cacheField name="actual_arrival_time" numFmtId="0">
      <sharedItems containsNonDate="0" containsDate="1" containsString="0" containsBlank="1" minDate="2025-11-19T10:36:16" maxDate="2025-11-19T12:07:59"/>
    </cacheField>
    <cacheField name="time_difference_min" numFmtId="0">
      <sharedItems containsString="0" containsBlank="1" containsNumber="1" minValue="-3.2594484499999998" maxValue="36.53811185"/>
    </cacheField>
    <cacheField name="round" numFmtId="0">
      <sharedItems containsString="0" containsBlank="1" containsNumber="1" containsInteger="1" minValue="-3" maxValue="37" count="18">
        <n v="1"/>
        <n v="0"/>
        <n v="37"/>
        <n v="3"/>
        <n v="2"/>
        <n v="5"/>
        <n v="7"/>
        <n v="8"/>
        <n v="-1"/>
        <n v="-3"/>
        <n v="4"/>
        <n v="12"/>
        <n v="11"/>
        <n v="14"/>
        <n v="15"/>
        <n v="16"/>
        <n v="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10-1265"/>
    <s v="Dragon Line"/>
    <n v="220"/>
    <n v="2"/>
    <n v="400"/>
    <n v="3"/>
    <d v="2025-11-19T10:35:46"/>
    <d v="2025-11-19T10:38:46"/>
    <d v="2025-11-19T10:39:48"/>
    <n v="1.0371499666666599"/>
    <x v="0"/>
  </r>
  <r>
    <s v="10-1265"/>
    <s v="Dragon Line"/>
    <n v="220"/>
    <n v="3"/>
    <n v="600"/>
    <n v="7"/>
    <d v="2025-11-19T10:35:46"/>
    <d v="2025-11-19T10:42:46"/>
    <d v="2025-11-19T10:42:49"/>
    <n v="6.0050016666666602E-2"/>
    <x v="1"/>
  </r>
  <r>
    <s v="10-1265"/>
    <s v="Dragon Line"/>
    <n v="220"/>
    <n v="4"/>
    <n v="800"/>
    <n v="11"/>
    <d v="2025-11-19T10:35:46"/>
    <d v="2025-11-19T10:46:46"/>
    <d v="2025-11-19T10:46:21"/>
    <n v="-0.40629684999999999"/>
    <x v="1"/>
  </r>
  <r>
    <s v="10-1265"/>
    <s v="Dragon Line"/>
    <n v="220"/>
    <n v="5"/>
    <n v="1000"/>
    <n v="15"/>
    <d v="2025-11-19T10:35:46"/>
    <d v="2025-11-19T10:50:46"/>
    <d v="2025-11-19T11:27:18"/>
    <n v="36.53811185"/>
    <x v="2"/>
  </r>
  <r>
    <s v="10-1265"/>
    <s v="Dragon Line"/>
    <n v="220"/>
    <n v="5"/>
    <n v="1011"/>
    <n v="15"/>
    <d v="2025-11-19T10:35:46"/>
    <d v="2025-11-19T10:50:46"/>
    <d v="2025-11-19T11:27:18"/>
    <n v="36.53811185"/>
    <x v="2"/>
  </r>
  <r>
    <s v="10-1221"/>
    <s v="Bus 2 -&gt; Bus 1 -&gt; Patong"/>
    <n v="3324"/>
    <n v="17"/>
    <n v="3400"/>
    <n v="0"/>
    <d v="2025-11-19T10:35:46"/>
    <d v="2025-11-19T10:35:46"/>
    <d v="2025-11-19T10:36:16"/>
    <n v="0.51065268333333302"/>
    <x v="0"/>
  </r>
  <r>
    <s v="10-1221"/>
    <s v="Bus 2 -&gt; Bus 1 -&gt; Patong"/>
    <n v="3324"/>
    <n v="18"/>
    <n v="3600"/>
    <n v="2"/>
    <d v="2025-11-19T10:35:46"/>
    <d v="2025-11-19T10:37:46"/>
    <d v="2025-11-19T10:38:47"/>
    <n v="1.0311016500000001"/>
    <x v="0"/>
  </r>
  <r>
    <s v="10-1221"/>
    <s v="Bus 2 -&gt; Bus 1 -&gt; Patong"/>
    <n v="3324"/>
    <n v="19"/>
    <n v="3800"/>
    <n v="4"/>
    <d v="2025-11-19T10:35:46"/>
    <d v="2025-11-19T10:39:46"/>
    <d v="2025-11-19T10:42:49"/>
    <n v="3.0647774833333301"/>
    <x v="3"/>
  </r>
  <r>
    <s v="10-1221"/>
    <s v="Bus 2 -&gt; Bus 1 -&gt; Patong"/>
    <n v="3324"/>
    <n v="20"/>
    <n v="4000"/>
    <n v="6"/>
    <d v="2025-11-19T10:35:46"/>
    <d v="2025-11-19T10:41:46"/>
    <d v="2025-11-19T10:44:20"/>
    <n v="2.5778132"/>
    <x v="3"/>
  </r>
  <r>
    <s v="10-1221"/>
    <s v="Bus 2 -&gt; Bus 1 -&gt; Patong"/>
    <n v="3324"/>
    <n v="21"/>
    <n v="4200"/>
    <n v="8"/>
    <d v="2025-11-19T10:35:46"/>
    <d v="2025-11-19T10:43:46"/>
    <d v="2025-11-19T10:45:21"/>
    <n v="1.5852107"/>
    <x v="4"/>
  </r>
  <r>
    <s v="10-1221"/>
    <s v="Bus 2 -&gt; Bus 1 -&gt; Patong"/>
    <n v="3324"/>
    <n v="22"/>
    <n v="4400"/>
    <n v="11"/>
    <d v="2025-11-19T10:35:46"/>
    <d v="2025-11-19T10:46:46"/>
    <d v="2025-11-19T10:49:23"/>
    <n v="2.6233300166666602"/>
    <x v="3"/>
  </r>
  <r>
    <s v="10-1221"/>
    <s v="Bus 2 -&gt; Bus 1 -&gt; Patong"/>
    <n v="3324"/>
    <n v="23"/>
    <n v="4600"/>
    <n v="15"/>
    <d v="2025-11-19T10:35:46"/>
    <d v="2025-11-19T10:50:46"/>
    <d v="2025-11-19T10:52:25"/>
    <n v="1.6499455166666599"/>
    <x v="4"/>
  </r>
  <r>
    <s v="10-1221"/>
    <s v="Bus 2 -&gt; Bus 1 -&gt; Patong"/>
    <n v="3324"/>
    <n v="24"/>
    <n v="4800"/>
    <n v="19"/>
    <d v="2025-11-19T10:35:46"/>
    <d v="2025-11-19T10:54:46"/>
    <d v="2025-11-19T10:56:27"/>
    <n v="1.68509816666666"/>
    <x v="4"/>
  </r>
  <r>
    <s v="10-1221"/>
    <s v="Bus 2 -&gt; Bus 1 -&gt; Patong"/>
    <n v="3324"/>
    <n v="25"/>
    <n v="5000"/>
    <n v="22"/>
    <d v="2025-11-19T10:35:46"/>
    <d v="2025-11-19T10:57:46"/>
    <d v="2025-11-19T11:02:30"/>
    <n v="4.7417018999999998"/>
    <x v="5"/>
  </r>
  <r>
    <s v="10-1221"/>
    <s v="Bus 2 -&gt; Bus 1 -&gt; Patong"/>
    <n v="3324"/>
    <n v="26"/>
    <n v="5200"/>
    <n v="25"/>
    <d v="2025-11-19T10:35:46"/>
    <d v="2025-11-19T11:00:46"/>
    <d v="2025-11-19T11:07:33"/>
    <n v="6.7875625666666597"/>
    <x v="6"/>
  </r>
  <r>
    <s v="10-1221"/>
    <s v="Bus 2 -&gt; Bus 1 -&gt; Patong"/>
    <n v="3324"/>
    <n v="26"/>
    <n v="5296"/>
    <n v="26"/>
    <d v="2025-11-19T10:35:46"/>
    <d v="2025-11-19T11:01:46"/>
    <d v="2025-11-19T11:09:34"/>
    <n v="7.8132056833333303"/>
    <x v="7"/>
  </r>
  <r>
    <s v="10-1223"/>
    <s v="Patong -&gt; Bus 1 -&gt; Bus 2"/>
    <n v="1739"/>
    <n v="9"/>
    <n v="1800"/>
    <n v="0"/>
    <d v="2025-11-19T10:35:46"/>
    <d v="2025-11-19T10:35:46"/>
    <d v="2025-11-19T10:36:46"/>
    <n v="1.0130342833333299"/>
    <x v="0"/>
  </r>
  <r>
    <s v="10-1223"/>
    <s v="Patong -&gt; Bus 1 -&gt; Bus 2"/>
    <n v="1739"/>
    <n v="10"/>
    <n v="2000"/>
    <n v="2"/>
    <d v="2025-11-19T10:35:46"/>
    <d v="2025-11-19T10:37:46"/>
    <d v="2025-11-19T10:38:47"/>
    <n v="1.0305078000000001"/>
    <x v="0"/>
  </r>
  <r>
    <s v="10-1223"/>
    <s v="Patong -&gt; Bus 1 -&gt; Bus 2"/>
    <n v="1739"/>
    <n v="11"/>
    <n v="2200"/>
    <n v="3"/>
    <d v="2025-11-19T10:35:46"/>
    <d v="2025-11-19T10:38:46"/>
    <d v="2025-11-19T10:40:48"/>
    <n v="2.0463743833333301"/>
    <x v="4"/>
  </r>
  <r>
    <s v="10-1223"/>
    <s v="Patong -&gt; Bus 1 -&gt; Bus 2"/>
    <n v="1739"/>
    <n v="12"/>
    <n v="2400"/>
    <n v="5"/>
    <d v="2025-11-19T10:35:46"/>
    <d v="2025-11-19T10:40:46"/>
    <d v="2025-11-19T10:42:49"/>
    <n v="2.06304544999999"/>
    <x v="4"/>
  </r>
  <r>
    <s v="10-1223"/>
    <s v="Patong -&gt; Bus 1 -&gt; Bus 2"/>
    <n v="1739"/>
    <n v="13"/>
    <n v="2600"/>
    <n v="7"/>
    <d v="2025-11-19T10:35:46"/>
    <d v="2025-11-19T10:42:46"/>
    <d v="2025-11-19T10:44:20"/>
    <n v="1.57613648333333"/>
    <x v="4"/>
  </r>
  <r>
    <s v="10-1223"/>
    <s v="Patong -&gt; Bus 1 -&gt; Bus 2"/>
    <n v="1739"/>
    <n v="14"/>
    <n v="2800"/>
    <n v="11"/>
    <d v="2025-11-19T10:35:46"/>
    <d v="2025-11-19T10:46:46"/>
    <d v="2025-11-19T10:46:21"/>
    <n v="-0.40314714999999901"/>
    <x v="1"/>
  </r>
  <r>
    <s v="10-1223"/>
    <s v="Patong -&gt; Bus 1 -&gt; Bus 2"/>
    <n v="1739"/>
    <n v="15"/>
    <n v="3000"/>
    <n v="13"/>
    <d v="2025-11-19T10:35:46"/>
    <d v="2025-11-19T10:48:46"/>
    <d v="2025-11-19T10:49:23"/>
    <n v="0.62249843333333299"/>
    <x v="0"/>
  </r>
  <r>
    <s v="10-1223"/>
    <s v="Patong -&gt; Bus 1 -&gt; Bus 2"/>
    <n v="1739"/>
    <n v="16"/>
    <n v="3200"/>
    <n v="16"/>
    <d v="2025-11-19T10:35:46"/>
    <d v="2025-11-19T10:51:46"/>
    <d v="2025-11-19T10:52:25"/>
    <n v="0.64881454999999999"/>
    <x v="0"/>
  </r>
  <r>
    <s v="10-1223"/>
    <s v="Patong -&gt; Bus 1 -&gt; Bus 2"/>
    <n v="1739"/>
    <n v="17"/>
    <n v="3400"/>
    <n v="18"/>
    <d v="2025-11-19T10:35:46"/>
    <d v="2025-11-19T10:53:46"/>
    <d v="2025-11-19T10:54:26"/>
    <n v="0.66520753333333305"/>
    <x v="0"/>
  </r>
  <r>
    <s v="10-1223"/>
    <s v="Patong -&gt; Bus 1 -&gt; Bus 2"/>
    <n v="1739"/>
    <n v="18"/>
    <n v="3600"/>
    <n v="20"/>
    <d v="2025-11-19T10:35:46"/>
    <d v="2025-11-19T10:55:46"/>
    <d v="2025-11-19T10:54:26"/>
    <n v="-1.33479246666666"/>
    <x v="8"/>
  </r>
  <r>
    <s v="10-1223"/>
    <s v="Patong -&gt; Bus 1 -&gt; Bus 2"/>
    <n v="1739"/>
    <n v="19"/>
    <n v="3800"/>
    <n v="30"/>
    <d v="2025-11-19T10:35:46"/>
    <d v="2025-11-19T11:05:46"/>
    <d v="2025-11-19T11:02:30"/>
    <n v="-3.2594484499999998"/>
    <x v="9"/>
  </r>
  <r>
    <s v="10-1210"/>
    <s v="Airport -&gt; Rawai"/>
    <n v="295"/>
    <n v="2"/>
    <n v="400"/>
    <n v="1"/>
    <d v="2025-11-19T10:35:46"/>
    <d v="2025-11-19T10:36:46"/>
    <d v="2025-11-19T10:38:18"/>
    <n v="1.53453325"/>
    <x v="4"/>
  </r>
  <r>
    <s v="10-1210"/>
    <s v="Airport -&gt; Rawai"/>
    <n v="295"/>
    <n v="3"/>
    <n v="600"/>
    <n v="2"/>
    <d v="2025-11-19T10:35:46"/>
    <d v="2025-11-19T10:37:46"/>
    <d v="2025-11-19T10:40:49"/>
    <n v="3.0552307833333301"/>
    <x v="3"/>
  </r>
  <r>
    <s v="10-1210"/>
    <s v="Airport -&gt; Rawai"/>
    <n v="295"/>
    <n v="4"/>
    <n v="800"/>
    <n v="4"/>
    <d v="2025-11-19T10:35:46"/>
    <d v="2025-11-19T10:39:46"/>
    <d v="2025-11-19T10:41:50"/>
    <n v="2.06417028333333"/>
    <x v="4"/>
  </r>
  <r>
    <s v="10-1210"/>
    <s v="Airport -&gt; Rawai"/>
    <n v="295"/>
    <n v="5"/>
    <n v="1000"/>
    <n v="5"/>
    <d v="2025-11-19T10:35:46"/>
    <d v="2025-11-19T10:40:46"/>
    <d v="2025-11-19T10:42:50"/>
    <n v="2.0734844333333302"/>
    <x v="4"/>
  </r>
  <r>
    <s v="10-1210"/>
    <s v="Airport -&gt; Rawai"/>
    <n v="295"/>
    <n v="6"/>
    <n v="1200"/>
    <n v="6"/>
    <d v="2025-11-19T10:35:46"/>
    <d v="2025-11-19T10:41:46"/>
    <d v="2025-11-19T10:44:21"/>
    <n v="2.5865532333333299"/>
    <x v="3"/>
  </r>
  <r>
    <s v="10-1210"/>
    <s v="Airport -&gt; Rawai"/>
    <n v="295"/>
    <n v="7"/>
    <n v="1400"/>
    <n v="8"/>
    <d v="2025-11-19T10:35:46"/>
    <d v="2025-11-19T10:43:46"/>
    <d v="2025-11-19T10:45:21"/>
    <n v="1.59580488333333"/>
    <x v="4"/>
  </r>
  <r>
    <s v="10-1210"/>
    <s v="Airport -&gt; Rawai"/>
    <n v="295"/>
    <n v="8"/>
    <n v="1600"/>
    <n v="9"/>
    <d v="2025-11-19T10:35:46"/>
    <d v="2025-11-19T10:44:46"/>
    <d v="2025-11-19T10:46:22"/>
    <n v="1.6054737666666601"/>
    <x v="4"/>
  </r>
  <r>
    <s v="10-1210"/>
    <s v="Airport -&gt; Rawai"/>
    <n v="295"/>
    <n v="9"/>
    <n v="1800"/>
    <n v="10"/>
    <d v="2025-11-19T10:35:46"/>
    <d v="2025-11-19T10:45:46"/>
    <d v="2025-11-19T10:47:22"/>
    <n v="1.6134659999999901"/>
    <x v="4"/>
  </r>
  <r>
    <s v="10-1210"/>
    <s v="Airport -&gt; Rawai"/>
    <n v="295"/>
    <n v="10"/>
    <n v="2000"/>
    <n v="11"/>
    <d v="2025-11-19T10:35:46"/>
    <d v="2025-11-19T10:46:46"/>
    <d v="2025-11-19T10:49:23"/>
    <n v="2.6303428000000002"/>
    <x v="3"/>
  </r>
  <r>
    <s v="10-1210"/>
    <s v="Airport -&gt; Rawai"/>
    <n v="295"/>
    <n v="11"/>
    <n v="2200"/>
    <n v="13"/>
    <d v="2025-11-19T10:35:46"/>
    <d v="2025-11-19T10:48:46"/>
    <d v="2025-11-19T10:50:24"/>
    <n v="1.6403380999999999"/>
    <x v="4"/>
  </r>
  <r>
    <s v="10-1210"/>
    <s v="Airport -&gt; Rawai"/>
    <n v="295"/>
    <n v="12"/>
    <n v="2400"/>
    <n v="14"/>
    <d v="2025-11-19T10:35:46"/>
    <d v="2025-11-19T10:49:46"/>
    <d v="2025-11-19T10:51:25"/>
    <n v="1.64811904999999"/>
    <x v="4"/>
  </r>
  <r>
    <s v="10-1210"/>
    <s v="Airport -&gt; Rawai"/>
    <n v="295"/>
    <n v="13"/>
    <n v="2600"/>
    <n v="17"/>
    <d v="2025-11-19T10:35:46"/>
    <d v="2025-11-19T10:52:46"/>
    <d v="2025-11-19T10:56:27"/>
    <n v="3.6888802166666599"/>
    <x v="10"/>
  </r>
  <r>
    <s v="10-1210"/>
    <s v="Airport -&gt; Rawai"/>
    <n v="295"/>
    <n v="14"/>
    <n v="2800"/>
    <n v="18"/>
    <d v="2025-11-19T10:35:46"/>
    <d v="2025-11-19T10:53:46"/>
    <d v="2025-11-19T11:05:32"/>
    <n v="11.768209300000001"/>
    <x v="11"/>
  </r>
  <r>
    <s v="10-1210"/>
    <s v="Airport -&gt; Rawai"/>
    <n v="295"/>
    <n v="15"/>
    <n v="3000"/>
    <n v="20"/>
    <d v="2025-11-19T10:35:46"/>
    <d v="2025-11-19T10:55:46"/>
    <d v="2025-11-19T11:07:33"/>
    <n v="11.787757300000001"/>
    <x v="11"/>
  </r>
  <r>
    <s v="10-1210"/>
    <s v="Airport -&gt; Rawai"/>
    <n v="295"/>
    <n v="16"/>
    <n v="3200"/>
    <n v="22"/>
    <d v="2025-11-19T10:35:46"/>
    <d v="2025-11-19T10:57:46"/>
    <d v="2025-11-19T11:09:34"/>
    <n v="11.8120463"/>
    <x v="11"/>
  </r>
  <r>
    <s v="10-1210"/>
    <s v="Airport -&gt; Rawai"/>
    <n v="295"/>
    <n v="17"/>
    <n v="3400"/>
    <n v="23"/>
    <d v="2025-11-19T10:35:46"/>
    <d v="2025-11-19T10:58:46"/>
    <d v="2025-11-19T11:10:35"/>
    <n v="11.8255312"/>
    <x v="11"/>
  </r>
  <r>
    <s v="10-1210"/>
    <s v="Airport -&gt; Rawai"/>
    <n v="295"/>
    <n v="18"/>
    <n v="3600"/>
    <n v="26"/>
    <d v="2025-11-19T10:35:46"/>
    <d v="2025-11-19T11:01:46"/>
    <d v="2025-11-19T11:12:37"/>
    <n v="10.858806883333299"/>
    <x v="12"/>
  </r>
  <r>
    <s v="10-1210"/>
    <s v="Airport -&gt; Rawai"/>
    <n v="295"/>
    <n v="19"/>
    <n v="3800"/>
    <n v="29"/>
    <d v="2025-11-19T10:35:46"/>
    <d v="2025-11-19T11:04:46"/>
    <d v="2025-11-19T11:18:43"/>
    <n v="13.9539113333333"/>
    <x v="13"/>
  </r>
  <r>
    <s v="10-1210"/>
    <s v="Airport -&gt; Rawai"/>
    <n v="295"/>
    <n v="20"/>
    <n v="4000"/>
    <n v="31"/>
    <d v="2025-11-19T10:35:46"/>
    <d v="2025-11-19T11:06:46"/>
    <d v="2025-11-19T11:20:45"/>
    <n v="13.9884336833333"/>
    <x v="13"/>
  </r>
  <r>
    <s v="10-1210"/>
    <s v="Airport -&gt; Rawai"/>
    <n v="295"/>
    <n v="21"/>
    <n v="4200"/>
    <n v="33"/>
    <d v="2025-11-19T10:35:46"/>
    <d v="2025-11-19T11:08:46"/>
    <d v="2025-11-19T11:22:47"/>
    <n v="14.0255535333333"/>
    <x v="13"/>
  </r>
  <r>
    <s v="10-1210"/>
    <s v="Airport -&gt; Rawai"/>
    <n v="295"/>
    <n v="22"/>
    <n v="4400"/>
    <n v="34"/>
    <d v="2025-11-19T10:35:46"/>
    <d v="2025-11-19T11:09:46"/>
    <d v="2025-11-19T11:24:19"/>
    <n v="14.554305400000001"/>
    <x v="14"/>
  </r>
  <r>
    <s v="10-1210"/>
    <s v="Airport -&gt; Rawai"/>
    <n v="295"/>
    <n v="23"/>
    <n v="4600"/>
    <n v="36"/>
    <d v="2025-11-19T10:35:46"/>
    <d v="2025-11-19T11:11:46"/>
    <d v="2025-11-19T11:27:22"/>
    <n v="15.601744999999999"/>
    <x v="15"/>
  </r>
  <r>
    <s v="10-1210"/>
    <s v="Airport -&gt; Rawai"/>
    <n v="295"/>
    <n v="24"/>
    <n v="4800"/>
    <n v="38"/>
    <d v="2025-11-19T10:35:46"/>
    <d v="2025-11-19T11:13:46"/>
    <d v="2025-11-19T11:29:54"/>
    <n v="16.133899866666599"/>
    <x v="15"/>
  </r>
  <r>
    <s v="10-1210"/>
    <s v="Airport -&gt; Rawai"/>
    <n v="295"/>
    <n v="25"/>
    <n v="5000"/>
    <n v="40"/>
    <d v="2025-11-19T10:35:46"/>
    <d v="2025-11-19T11:15:46"/>
    <d v="2025-11-19T11:30:25"/>
    <n v="14.648426450000001"/>
    <x v="14"/>
  </r>
  <r>
    <s v="10-1210"/>
    <s v="Airport -&gt; Rawai"/>
    <n v="295"/>
    <n v="26"/>
    <n v="5200"/>
    <n v="42"/>
    <d v="2025-11-19T10:35:46"/>
    <d v="2025-11-19T11:17:46"/>
    <d v="2025-11-19T11:32:26"/>
    <n v="14.680444533333301"/>
    <x v="14"/>
  </r>
  <r>
    <s v="10-1210"/>
    <s v="Airport -&gt; Rawai"/>
    <n v="295"/>
    <n v="27"/>
    <n v="5400"/>
    <n v="44"/>
    <d v="2025-11-19T10:35:46"/>
    <d v="2025-11-19T11:19:46"/>
    <d v="2025-11-19T11:34:29"/>
    <n v="14.716284399999999"/>
    <x v="14"/>
  </r>
  <r>
    <s v="10-1210"/>
    <s v="Airport -&gt; Rawai"/>
    <n v="295"/>
    <n v="28"/>
    <n v="5600"/>
    <n v="46"/>
    <d v="2025-11-19T10:35:46"/>
    <d v="2025-11-19T11:21:46"/>
    <d v="2025-11-19T11:35:30"/>
    <n v="13.7334544166666"/>
    <x v="13"/>
  </r>
  <r>
    <s v="10-1210"/>
    <s v="Airport -&gt; Rawai"/>
    <n v="295"/>
    <n v="29"/>
    <n v="5800"/>
    <n v="48"/>
    <d v="2025-11-19T10:35:46"/>
    <d v="2025-11-19T11:23:46"/>
    <d v="2025-11-19T11:37:31"/>
    <n v="13.763083399999999"/>
    <x v="13"/>
  </r>
  <r>
    <s v="10-1210"/>
    <s v="Airport -&gt; Rawai"/>
    <n v="295"/>
    <n v="30"/>
    <n v="6000"/>
    <n v="50"/>
    <d v="2025-11-19T10:35:46"/>
    <d v="2025-11-19T11:25:46"/>
    <d v="2025-11-19T11:38:33"/>
    <n v="12.783994233333299"/>
    <x v="16"/>
  </r>
  <r>
    <s v="10-1210"/>
    <s v="Airport -&gt; Rawai"/>
    <n v="295"/>
    <n v="31"/>
    <n v="6200"/>
    <n v="52"/>
    <d v="2025-11-19T10:35:46"/>
    <d v="2025-11-19T11:27:46"/>
    <d v="2025-11-19T11:40:35"/>
    <n v="12.820339499999999"/>
    <x v="16"/>
  </r>
  <r>
    <s v="10-1210"/>
    <s v="Airport -&gt; Rawai"/>
    <n v="295"/>
    <n v="32"/>
    <n v="6400"/>
    <n v="53"/>
    <d v="2025-11-19T10:35:46"/>
    <d v="2025-11-19T11:28:46"/>
    <d v="2025-11-19T11:41:36"/>
    <n v="12.837735483333301"/>
    <x v="16"/>
  </r>
  <r>
    <s v="10-1210"/>
    <s v="Airport -&gt; Rawai"/>
    <n v="295"/>
    <n v="33"/>
    <n v="6600"/>
    <n v="56"/>
    <d v="2025-11-19T10:35:46"/>
    <d v="2025-11-19T11:31:46"/>
    <d v="2025-11-19T11:43:38"/>
    <n v="11.8659823666666"/>
    <x v="11"/>
  </r>
  <r>
    <s v="10-1210"/>
    <s v="Airport -&gt; Rawai"/>
    <n v="295"/>
    <n v="34"/>
    <n v="6800"/>
    <n v="60"/>
    <d v="2025-11-19T10:35:46"/>
    <d v="2025-11-19T11:35:46"/>
    <d v="2025-11-19T11:46:40"/>
    <n v="10.9137564833333"/>
    <x v="12"/>
  </r>
  <r>
    <s v="10-1210"/>
    <s v="Airport -&gt; Rawai"/>
    <n v="295"/>
    <n v="37"/>
    <n v="7400"/>
    <n v="71"/>
    <d v="2025-11-19T10:35:46"/>
    <d v="2025-11-19T11:46:46"/>
    <d v="2025-11-19T12:02:55"/>
    <n v="16.147627849999999"/>
    <x v="15"/>
  </r>
  <r>
    <s v="10-1210"/>
    <s v="Airport -&gt; Rawai"/>
    <n v="295"/>
    <n v="38"/>
    <n v="7600"/>
    <n v="73"/>
    <d v="2025-11-19T10:35:46"/>
    <d v="2025-11-19T11:48:46"/>
    <d v="2025-11-19T12:02:55"/>
    <n v="14.147627849999999"/>
    <x v="13"/>
  </r>
  <r>
    <s v="10-1210"/>
    <s v="Airport -&gt; Rawai"/>
    <n v="295"/>
    <n v="39"/>
    <n v="7800"/>
    <n v="74"/>
    <d v="2025-11-19T10:35:46"/>
    <d v="2025-11-19T11:49:46"/>
    <d v="2025-11-19T12:02:55"/>
    <n v="13.147627849999999"/>
    <x v="16"/>
  </r>
  <r>
    <s v="10-1210"/>
    <s v="Airport -&gt; Rawai"/>
    <n v="295"/>
    <n v="40"/>
    <n v="8000"/>
    <n v="76"/>
    <d v="2025-11-19T10:35:46"/>
    <d v="2025-11-19T11:51:46"/>
    <d v="2025-11-19T12:04:56"/>
    <n v="13.1759414666666"/>
    <x v="16"/>
  </r>
  <r>
    <s v="10-1210"/>
    <s v="Airport -&gt; Rawai"/>
    <n v="295"/>
    <n v="41"/>
    <n v="8200"/>
    <n v="77"/>
    <d v="2025-11-19T10:35:46"/>
    <d v="2025-11-19T11:52:46"/>
    <d v="2025-11-19T12:06:27"/>
    <n v="13.6955869833333"/>
    <x v="13"/>
  </r>
  <r>
    <s v="10-1210"/>
    <s v="Airport -&gt; Rawai"/>
    <n v="295"/>
    <n v="42"/>
    <n v="8400"/>
    <n v="79"/>
    <d v="2025-11-19T10:35:46"/>
    <d v="2025-11-19T11:54:46"/>
    <d v="2025-11-19T12:07:59"/>
    <n v="13.217197599999899"/>
    <x v="16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  <r>
    <m/>
    <m/>
    <m/>
    <m/>
    <m/>
    <m/>
    <m/>
    <m/>
    <m/>
    <m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BFB8E-8F59-6541-9755-7E3D3110BFB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9">
        <item x="9"/>
        <item x="8"/>
        <item x="1"/>
        <item x="0"/>
        <item x="4"/>
        <item x="3"/>
        <item x="10"/>
        <item x="5"/>
        <item x="6"/>
        <item x="7"/>
        <item x="12"/>
        <item x="11"/>
        <item x="16"/>
        <item x="13"/>
        <item x="14"/>
        <item x="15"/>
        <item x="2"/>
        <item x="17"/>
        <item t="default"/>
      </items>
    </pivotField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round" fld="10" subtotal="count" baseField="0" baseItem="0"/>
  </dataFields>
  <formats count="1">
    <format dxfId="3">
      <pivotArea collapsedLevelsAreSubtotals="1" fieldPosition="0">
        <references count="1">
          <reference field="10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FAB70-4171-8B44-9265-71F46D78F1EC}" name="Table2" displayName="Table2" ref="A3:K10" totalsRowShown="0">
  <autoFilter ref="A3:K10" xr:uid="{50EFAB70-4171-8B44-9265-71F46D78F1EC}"/>
  <tableColumns count="11">
    <tableColumn id="1" xr3:uid="{D7E0363E-DA92-A54F-BC08-D16D7A90C0D3}" name="licence"/>
    <tableColumn id="2" xr3:uid="{365DBC69-5633-E844-9C1D-71846564DA87}" name="route"/>
    <tableColumn id="3" xr3:uid="{B78E036F-456B-D544-BE87-83B462F142AA}" name="start_bus_index"/>
    <tableColumn id="4" xr3:uid="{8EA3626E-5463-494F-8E79-F0D39DDB983E}" name="target_km_interval"/>
    <tableColumn id="5" xr3:uid="{3BAFDBC2-960F-124E-BBA3-750C96F230E6}" name="target_index"/>
    <tableColumn id="6" xr3:uid="{0B0B9AE3-2ACF-0144-808F-8632856CA47C}" name="predicted_eta_min"/>
    <tableColumn id="7" xr3:uid="{2E87480E-9ABD-4B44-ADCF-431E9E1DF6A0}" name="prediction_timestamp" dataDxfId="2"/>
    <tableColumn id="8" xr3:uid="{3B3B866A-B6D5-5043-91BF-01764DD68E27}" name="predicted_arrival_time" dataDxfId="1"/>
    <tableColumn id="9" xr3:uid="{6FB6C58E-DAE2-964A-B616-ACB5F508EE97}" name="actual_arrival_time" dataDxfId="0"/>
    <tableColumn id="10" xr3:uid="{0E351F43-836F-4240-A47A-864D2B46C68B}" name="time_difference_min"/>
    <tableColumn id="11" xr3:uid="{2D276F9E-C760-ED49-87ED-1331342CD106}" name="rou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1008-0325-2C47-B371-3AA21EE8BFF0}">
  <dimension ref="A1:K10"/>
  <sheetViews>
    <sheetView tabSelected="1" workbookViewId="0">
      <selection activeCell="J8" sqref="J8"/>
    </sheetView>
  </sheetViews>
  <sheetFormatPr baseColWidth="10" defaultRowHeight="16" x14ac:dyDescent="0.2"/>
  <cols>
    <col min="1" max="1" width="11" bestFit="1" customWidth="1"/>
    <col min="2" max="2" width="14" bestFit="1" customWidth="1"/>
    <col min="3" max="3" width="16.6640625" bestFit="1" customWidth="1"/>
    <col min="4" max="4" width="19.33203125" bestFit="1" customWidth="1"/>
    <col min="5" max="5" width="13.83203125" bestFit="1" customWidth="1"/>
    <col min="6" max="6" width="19.1640625" bestFit="1" customWidth="1"/>
    <col min="7" max="7" width="22.1640625" bestFit="1" customWidth="1"/>
    <col min="8" max="8" width="22.33203125" bestFit="1" customWidth="1"/>
    <col min="9" max="9" width="19.6640625" bestFit="1" customWidth="1"/>
    <col min="10" max="10" width="21" bestFit="1" customWidth="1"/>
    <col min="11" max="11" width="11" bestFit="1" customWidth="1"/>
  </cols>
  <sheetData>
    <row r="1" spans="1:11" x14ac:dyDescent="0.2">
      <c r="A1" s="6" t="s">
        <v>23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18</v>
      </c>
    </row>
    <row r="4" spans="1:11" x14ac:dyDescent="0.2">
      <c r="A4" t="s">
        <v>16</v>
      </c>
      <c r="B4" t="s">
        <v>17</v>
      </c>
      <c r="C4">
        <v>295</v>
      </c>
      <c r="D4">
        <v>41</v>
      </c>
      <c r="E4">
        <v>8200</v>
      </c>
      <c r="F4">
        <v>77</v>
      </c>
      <c r="G4" s="5">
        <v>45980.441504629627</v>
      </c>
      <c r="H4" s="5">
        <v>45980.494976851849</v>
      </c>
      <c r="I4" s="5">
        <v>45980.504479166666</v>
      </c>
      <c r="J4">
        <v>13.6955869833333</v>
      </c>
      <c r="K4">
        <v>14</v>
      </c>
    </row>
    <row r="5" spans="1:11" x14ac:dyDescent="0.2">
      <c r="A5" t="s">
        <v>16</v>
      </c>
      <c r="B5" t="s">
        <v>17</v>
      </c>
      <c r="C5">
        <v>295</v>
      </c>
      <c r="D5">
        <v>38</v>
      </c>
      <c r="E5">
        <v>7600</v>
      </c>
      <c r="F5">
        <v>73</v>
      </c>
      <c r="G5" s="5">
        <v>45980.441504629627</v>
      </c>
      <c r="H5" s="5">
        <v>45980.492199074077</v>
      </c>
      <c r="I5" s="5">
        <v>45980.502025462964</v>
      </c>
      <c r="J5">
        <v>14.147627849999999</v>
      </c>
      <c r="K5">
        <v>14</v>
      </c>
    </row>
    <row r="6" spans="1:11" x14ac:dyDescent="0.2">
      <c r="A6" t="s">
        <v>16</v>
      </c>
      <c r="B6" t="s">
        <v>17</v>
      </c>
      <c r="C6">
        <v>295</v>
      </c>
      <c r="D6">
        <v>29</v>
      </c>
      <c r="E6">
        <v>5800</v>
      </c>
      <c r="F6">
        <v>48</v>
      </c>
      <c r="G6" s="5">
        <v>45980.441504629627</v>
      </c>
      <c r="H6" s="5">
        <v>45980.47483796296</v>
      </c>
      <c r="I6" s="5">
        <v>45980.484386574077</v>
      </c>
      <c r="J6">
        <v>13.763083399999999</v>
      </c>
      <c r="K6">
        <v>14</v>
      </c>
    </row>
    <row r="7" spans="1:11" x14ac:dyDescent="0.2">
      <c r="A7" t="s">
        <v>16</v>
      </c>
      <c r="B7" t="s">
        <v>17</v>
      </c>
      <c r="C7">
        <v>295</v>
      </c>
      <c r="D7">
        <v>28</v>
      </c>
      <c r="E7">
        <v>5600</v>
      </c>
      <c r="F7">
        <v>46</v>
      </c>
      <c r="G7" s="5">
        <v>45980.441504629627</v>
      </c>
      <c r="H7" s="5">
        <v>45980.473449074074</v>
      </c>
      <c r="I7" s="5">
        <v>45980.482986111114</v>
      </c>
      <c r="J7">
        <v>13.7334544166666</v>
      </c>
      <c r="K7">
        <v>14</v>
      </c>
    </row>
    <row r="8" spans="1:11" x14ac:dyDescent="0.2">
      <c r="A8" t="s">
        <v>16</v>
      </c>
      <c r="B8" t="s">
        <v>17</v>
      </c>
      <c r="C8">
        <v>295</v>
      </c>
      <c r="D8">
        <v>21</v>
      </c>
      <c r="E8">
        <v>4200</v>
      </c>
      <c r="F8">
        <v>33</v>
      </c>
      <c r="G8" s="5">
        <v>45980.441504629627</v>
      </c>
      <c r="H8" s="5">
        <v>45980.464421296296</v>
      </c>
      <c r="I8" s="5">
        <v>45980.47415509259</v>
      </c>
      <c r="J8">
        <v>14.0255535333333</v>
      </c>
      <c r="K8">
        <v>14</v>
      </c>
    </row>
    <row r="9" spans="1:11" x14ac:dyDescent="0.2">
      <c r="A9" t="s">
        <v>16</v>
      </c>
      <c r="B9" t="s">
        <v>17</v>
      </c>
      <c r="C9">
        <v>295</v>
      </c>
      <c r="D9">
        <v>20</v>
      </c>
      <c r="E9">
        <v>4000</v>
      </c>
      <c r="F9">
        <v>31</v>
      </c>
      <c r="G9" s="5">
        <v>45980.441504629627</v>
      </c>
      <c r="H9" s="5">
        <v>45980.46303240741</v>
      </c>
      <c r="I9" s="5">
        <v>45980.472743055558</v>
      </c>
      <c r="J9">
        <v>13.9884336833333</v>
      </c>
      <c r="K9">
        <v>14</v>
      </c>
    </row>
    <row r="10" spans="1:11" x14ac:dyDescent="0.2">
      <c r="A10" t="s">
        <v>16</v>
      </c>
      <c r="B10" t="s">
        <v>17</v>
      </c>
      <c r="C10">
        <v>295</v>
      </c>
      <c r="D10">
        <v>19</v>
      </c>
      <c r="E10">
        <v>3800</v>
      </c>
      <c r="F10">
        <v>29</v>
      </c>
      <c r="G10" s="5">
        <v>45980.441504629627</v>
      </c>
      <c r="H10" s="5">
        <v>45980.461643518516</v>
      </c>
      <c r="I10" s="5">
        <v>45980.471331018518</v>
      </c>
      <c r="J10">
        <v>13.9539113333333</v>
      </c>
      <c r="K10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AB59-E7A1-624B-B7AD-15364A37D27F}">
  <dimension ref="A3:B22"/>
  <sheetViews>
    <sheetView workbookViewId="0">
      <selection activeCell="B17" sqref="B17"/>
    </sheetView>
  </sheetViews>
  <sheetFormatPr baseColWidth="10" defaultRowHeight="16" x14ac:dyDescent="0.2"/>
  <cols>
    <col min="1" max="1" width="13" bestFit="1" customWidth="1"/>
    <col min="2" max="2" width="13.1640625" bestFit="1" customWidth="1"/>
  </cols>
  <sheetData>
    <row r="3" spans="1:2" x14ac:dyDescent="0.2">
      <c r="A3" s="2" t="s">
        <v>19</v>
      </c>
      <c r="B3" t="s">
        <v>22</v>
      </c>
    </row>
    <row r="4" spans="1:2" x14ac:dyDescent="0.2">
      <c r="A4" s="3">
        <v>-3</v>
      </c>
      <c r="B4" s="7">
        <v>1</v>
      </c>
    </row>
    <row r="5" spans="1:2" x14ac:dyDescent="0.2">
      <c r="A5" s="3">
        <v>-1</v>
      </c>
      <c r="B5" s="7">
        <v>1</v>
      </c>
    </row>
    <row r="6" spans="1:2" x14ac:dyDescent="0.2">
      <c r="A6" s="3">
        <v>0</v>
      </c>
      <c r="B6" s="7">
        <v>3</v>
      </c>
    </row>
    <row r="7" spans="1:2" x14ac:dyDescent="0.2">
      <c r="A7" s="3">
        <v>1</v>
      </c>
      <c r="B7" s="7">
        <v>8</v>
      </c>
    </row>
    <row r="8" spans="1:2" x14ac:dyDescent="0.2">
      <c r="A8" s="3">
        <v>2</v>
      </c>
      <c r="B8" s="7">
        <v>14</v>
      </c>
    </row>
    <row r="9" spans="1:2" x14ac:dyDescent="0.2">
      <c r="A9" s="3">
        <v>3</v>
      </c>
      <c r="B9" s="7">
        <v>6</v>
      </c>
    </row>
    <row r="10" spans="1:2" x14ac:dyDescent="0.2">
      <c r="A10" s="3">
        <v>4</v>
      </c>
      <c r="B10" s="4">
        <v>1</v>
      </c>
    </row>
    <row r="11" spans="1:2" x14ac:dyDescent="0.2">
      <c r="A11" s="3">
        <v>5</v>
      </c>
      <c r="B11" s="4">
        <v>1</v>
      </c>
    </row>
    <row r="12" spans="1:2" x14ac:dyDescent="0.2">
      <c r="A12" s="3">
        <v>7</v>
      </c>
      <c r="B12" s="4">
        <v>1</v>
      </c>
    </row>
    <row r="13" spans="1:2" x14ac:dyDescent="0.2">
      <c r="A13" s="3">
        <v>8</v>
      </c>
      <c r="B13" s="4">
        <v>1</v>
      </c>
    </row>
    <row r="14" spans="1:2" x14ac:dyDescent="0.2">
      <c r="A14" s="3">
        <v>11</v>
      </c>
      <c r="B14" s="4">
        <v>2</v>
      </c>
    </row>
    <row r="15" spans="1:2" x14ac:dyDescent="0.2">
      <c r="A15" s="3">
        <v>12</v>
      </c>
      <c r="B15" s="4">
        <v>5</v>
      </c>
    </row>
    <row r="16" spans="1:2" x14ac:dyDescent="0.2">
      <c r="A16" s="3">
        <v>13</v>
      </c>
      <c r="B16" s="4">
        <v>6</v>
      </c>
    </row>
    <row r="17" spans="1:2" x14ac:dyDescent="0.2">
      <c r="A17" s="3">
        <v>14</v>
      </c>
      <c r="B17" s="4">
        <v>7</v>
      </c>
    </row>
    <row r="18" spans="1:2" x14ac:dyDescent="0.2">
      <c r="A18" s="3">
        <v>15</v>
      </c>
      <c r="B18" s="4">
        <v>4</v>
      </c>
    </row>
    <row r="19" spans="1:2" x14ac:dyDescent="0.2">
      <c r="A19" s="3">
        <v>16</v>
      </c>
      <c r="B19" s="4">
        <v>3</v>
      </c>
    </row>
    <row r="20" spans="1:2" x14ac:dyDescent="0.2">
      <c r="A20" s="3">
        <v>37</v>
      </c>
      <c r="B20" s="4">
        <v>2</v>
      </c>
    </row>
    <row r="21" spans="1:2" x14ac:dyDescent="0.2">
      <c r="A21" s="3" t="s">
        <v>20</v>
      </c>
      <c r="B21" s="4"/>
    </row>
    <row r="22" spans="1:2" x14ac:dyDescent="0.2">
      <c r="A22" s="3" t="s">
        <v>21</v>
      </c>
      <c r="B22" s="4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3A3A-76F5-BF4F-AF36-85F6892E0BC1}">
  <dimension ref="A1:K142"/>
  <sheetViews>
    <sheetView workbookViewId="0">
      <selection activeCell="J14" sqref="J14"/>
    </sheetView>
  </sheetViews>
  <sheetFormatPr baseColWidth="10" defaultRowHeight="16" x14ac:dyDescent="0.2"/>
  <cols>
    <col min="7" max="7" width="33.6640625" customWidth="1"/>
    <col min="10" max="10" width="29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</row>
    <row r="2" spans="1:11" x14ac:dyDescent="0.2">
      <c r="A2" t="s">
        <v>10</v>
      </c>
      <c r="B2" t="s">
        <v>11</v>
      </c>
      <c r="C2">
        <v>220</v>
      </c>
      <c r="D2">
        <v>2</v>
      </c>
      <c r="E2">
        <v>400</v>
      </c>
      <c r="F2">
        <v>3</v>
      </c>
      <c r="G2" s="1">
        <v>45980.441499513887</v>
      </c>
      <c r="H2" s="1">
        <v>45980.44358284722</v>
      </c>
      <c r="I2" s="1">
        <v>45980.444303090277</v>
      </c>
      <c r="J2">
        <v>1.0371499666666599</v>
      </c>
      <c r="K2">
        <f>ROUND(J2,0)</f>
        <v>1</v>
      </c>
    </row>
    <row r="3" spans="1:11" x14ac:dyDescent="0.2">
      <c r="A3" t="s">
        <v>10</v>
      </c>
      <c r="B3" t="s">
        <v>11</v>
      </c>
      <c r="C3">
        <v>220</v>
      </c>
      <c r="D3">
        <v>3</v>
      </c>
      <c r="E3">
        <v>600</v>
      </c>
      <c r="F3">
        <v>7</v>
      </c>
      <c r="G3" s="1">
        <v>45980.441499513887</v>
      </c>
      <c r="H3" s="1">
        <v>45980.446360624999</v>
      </c>
      <c r="I3" s="1">
        <v>45980.446402326386</v>
      </c>
      <c r="J3">
        <v>6.0050016666666602E-2</v>
      </c>
      <c r="K3">
        <f t="shared" ref="K3:K66" si="0">ROUND(J3,0)</f>
        <v>0</v>
      </c>
    </row>
    <row r="4" spans="1:11" x14ac:dyDescent="0.2">
      <c r="A4" t="s">
        <v>10</v>
      </c>
      <c r="B4" t="s">
        <v>11</v>
      </c>
      <c r="C4">
        <v>220</v>
      </c>
      <c r="D4">
        <v>4</v>
      </c>
      <c r="E4">
        <v>800</v>
      </c>
      <c r="F4">
        <v>11</v>
      </c>
      <c r="G4" s="1">
        <v>45980.441499513887</v>
      </c>
      <c r="H4" s="1">
        <v>45980.449138402779</v>
      </c>
      <c r="I4" s="1">
        <v>45980.448856261573</v>
      </c>
      <c r="J4">
        <v>-0.40629684999999999</v>
      </c>
      <c r="K4">
        <f t="shared" si="0"/>
        <v>0</v>
      </c>
    </row>
    <row r="5" spans="1:11" x14ac:dyDescent="0.2">
      <c r="A5" t="s">
        <v>10</v>
      </c>
      <c r="B5" t="s">
        <v>11</v>
      </c>
      <c r="C5">
        <v>220</v>
      </c>
      <c r="D5">
        <v>5</v>
      </c>
      <c r="E5">
        <v>1000</v>
      </c>
      <c r="F5">
        <v>15</v>
      </c>
      <c r="G5" s="1">
        <v>45980.441499513887</v>
      </c>
      <c r="H5" s="1">
        <v>45980.451916180558</v>
      </c>
      <c r="I5" s="1">
        <v>45980.477289872688</v>
      </c>
      <c r="J5">
        <v>36.53811185</v>
      </c>
      <c r="K5">
        <f t="shared" si="0"/>
        <v>37</v>
      </c>
    </row>
    <row r="6" spans="1:11" x14ac:dyDescent="0.2">
      <c r="A6" t="s">
        <v>10</v>
      </c>
      <c r="B6" t="s">
        <v>11</v>
      </c>
      <c r="C6">
        <v>220</v>
      </c>
      <c r="D6">
        <v>5</v>
      </c>
      <c r="E6">
        <v>1011</v>
      </c>
      <c r="F6">
        <v>15</v>
      </c>
      <c r="G6" s="1">
        <v>45980.441499513887</v>
      </c>
      <c r="H6" s="1">
        <v>45980.451916180558</v>
      </c>
      <c r="I6" s="1">
        <v>45980.477289872688</v>
      </c>
      <c r="J6">
        <v>36.53811185</v>
      </c>
      <c r="K6">
        <f t="shared" si="0"/>
        <v>37</v>
      </c>
    </row>
    <row r="7" spans="1:11" x14ac:dyDescent="0.2">
      <c r="A7" t="s">
        <v>12</v>
      </c>
      <c r="B7" t="s">
        <v>13</v>
      </c>
      <c r="C7">
        <v>3324</v>
      </c>
      <c r="D7">
        <v>17</v>
      </c>
      <c r="E7">
        <v>3400</v>
      </c>
      <c r="F7">
        <v>0</v>
      </c>
      <c r="G7" s="1">
        <v>45980.441499942128</v>
      </c>
      <c r="H7" s="1">
        <v>45980.441499942128</v>
      </c>
      <c r="I7" s="1">
        <v>45980.441854571756</v>
      </c>
      <c r="J7">
        <v>0.51065268333333302</v>
      </c>
      <c r="K7">
        <f t="shared" si="0"/>
        <v>1</v>
      </c>
    </row>
    <row r="8" spans="1:11" x14ac:dyDescent="0.2">
      <c r="A8" t="s">
        <v>12</v>
      </c>
      <c r="B8" t="s">
        <v>13</v>
      </c>
      <c r="C8">
        <v>3324</v>
      </c>
      <c r="D8">
        <v>18</v>
      </c>
      <c r="E8">
        <v>3600</v>
      </c>
      <c r="F8">
        <v>2</v>
      </c>
      <c r="G8" s="1">
        <v>45980.441499942128</v>
      </c>
      <c r="H8" s="1">
        <v>45980.442888831021</v>
      </c>
      <c r="I8" s="1">
        <v>45980.443604884262</v>
      </c>
      <c r="J8">
        <v>1.0311016500000001</v>
      </c>
      <c r="K8">
        <f t="shared" si="0"/>
        <v>1</v>
      </c>
    </row>
    <row r="9" spans="1:11" x14ac:dyDescent="0.2">
      <c r="A9" t="s">
        <v>12</v>
      </c>
      <c r="B9" t="s">
        <v>13</v>
      </c>
      <c r="C9">
        <v>3324</v>
      </c>
      <c r="D9">
        <v>19</v>
      </c>
      <c r="E9">
        <v>3800</v>
      </c>
      <c r="F9">
        <v>4</v>
      </c>
      <c r="G9" s="1">
        <v>45980.441499942128</v>
      </c>
      <c r="H9" s="1">
        <v>45980.444277719907</v>
      </c>
      <c r="I9" s="1">
        <v>45980.446406041665</v>
      </c>
      <c r="J9">
        <v>3.0647774833333301</v>
      </c>
      <c r="K9">
        <f t="shared" si="0"/>
        <v>3</v>
      </c>
    </row>
    <row r="10" spans="1:11" x14ac:dyDescent="0.2">
      <c r="A10" t="s">
        <v>12</v>
      </c>
      <c r="B10" t="s">
        <v>13</v>
      </c>
      <c r="C10">
        <v>3324</v>
      </c>
      <c r="D10">
        <v>20</v>
      </c>
      <c r="E10">
        <v>4000</v>
      </c>
      <c r="F10">
        <v>6</v>
      </c>
      <c r="G10" s="1">
        <v>45980.441499942128</v>
      </c>
      <c r="H10" s="1">
        <v>45980.445666608794</v>
      </c>
      <c r="I10" s="1">
        <v>45980.447456759262</v>
      </c>
      <c r="J10">
        <v>2.5778132</v>
      </c>
      <c r="K10">
        <f t="shared" si="0"/>
        <v>3</v>
      </c>
    </row>
    <row r="11" spans="1:11" x14ac:dyDescent="0.2">
      <c r="A11" t="s">
        <v>12</v>
      </c>
      <c r="B11" t="s">
        <v>13</v>
      </c>
      <c r="C11">
        <v>3324</v>
      </c>
      <c r="D11">
        <v>21</v>
      </c>
      <c r="E11">
        <v>4200</v>
      </c>
      <c r="F11">
        <v>8</v>
      </c>
      <c r="G11" s="1">
        <v>45980.441499942128</v>
      </c>
      <c r="H11" s="1">
        <v>45980.447055497687</v>
      </c>
      <c r="I11" s="1">
        <v>45980.448156342594</v>
      </c>
      <c r="J11">
        <v>1.5852107</v>
      </c>
      <c r="K11">
        <f t="shared" si="0"/>
        <v>2</v>
      </c>
    </row>
    <row r="12" spans="1:11" x14ac:dyDescent="0.2">
      <c r="A12" t="s">
        <v>12</v>
      </c>
      <c r="B12" t="s">
        <v>13</v>
      </c>
      <c r="C12">
        <v>3324</v>
      </c>
      <c r="D12">
        <v>22</v>
      </c>
      <c r="E12">
        <v>4400</v>
      </c>
      <c r="F12">
        <v>11</v>
      </c>
      <c r="G12" s="1">
        <v>45980.441499942128</v>
      </c>
      <c r="H12" s="1">
        <v>45980.44913883102</v>
      </c>
      <c r="I12" s="1">
        <v>45980.450960590279</v>
      </c>
      <c r="J12">
        <v>2.6233300166666602</v>
      </c>
      <c r="K12">
        <f t="shared" si="0"/>
        <v>3</v>
      </c>
    </row>
    <row r="13" spans="1:11" x14ac:dyDescent="0.2">
      <c r="A13" t="s">
        <v>12</v>
      </c>
      <c r="B13" t="s">
        <v>13</v>
      </c>
      <c r="C13">
        <v>3324</v>
      </c>
      <c r="D13">
        <v>23</v>
      </c>
      <c r="E13">
        <v>4600</v>
      </c>
      <c r="F13">
        <v>15</v>
      </c>
      <c r="G13" s="1">
        <v>45980.441499942128</v>
      </c>
      <c r="H13" s="1">
        <v>45980.451916608799</v>
      </c>
      <c r="I13" s="1">
        <v>45980.45306240741</v>
      </c>
      <c r="J13">
        <v>1.6499455166666599</v>
      </c>
      <c r="K13">
        <f t="shared" si="0"/>
        <v>2</v>
      </c>
    </row>
    <row r="14" spans="1:11" x14ac:dyDescent="0.2">
      <c r="A14" t="s">
        <v>12</v>
      </c>
      <c r="B14" t="s">
        <v>13</v>
      </c>
      <c r="C14">
        <v>3324</v>
      </c>
      <c r="D14">
        <v>24</v>
      </c>
      <c r="E14">
        <v>4800</v>
      </c>
      <c r="F14">
        <v>19</v>
      </c>
      <c r="G14" s="1">
        <v>45980.441499942128</v>
      </c>
      <c r="H14" s="1">
        <v>45980.454694386572</v>
      </c>
      <c r="I14" s="1">
        <v>45980.455864594907</v>
      </c>
      <c r="J14">
        <v>1.68509816666666</v>
      </c>
      <c r="K14">
        <f t="shared" si="0"/>
        <v>2</v>
      </c>
    </row>
    <row r="15" spans="1:11" x14ac:dyDescent="0.2">
      <c r="A15" t="s">
        <v>12</v>
      </c>
      <c r="B15" t="s">
        <v>13</v>
      </c>
      <c r="C15">
        <v>3324</v>
      </c>
      <c r="D15">
        <v>25</v>
      </c>
      <c r="E15">
        <v>5000</v>
      </c>
      <c r="F15">
        <v>22</v>
      </c>
      <c r="G15" s="1">
        <v>45980.441499942128</v>
      </c>
      <c r="H15" s="1">
        <v>45980.456777719904</v>
      </c>
      <c r="I15" s="1">
        <v>45980.460070578702</v>
      </c>
      <c r="J15">
        <v>4.7417018999999998</v>
      </c>
      <c r="K15">
        <f t="shared" si="0"/>
        <v>5</v>
      </c>
    </row>
    <row r="16" spans="1:11" x14ac:dyDescent="0.2">
      <c r="A16" t="s">
        <v>12</v>
      </c>
      <c r="B16" t="s">
        <v>13</v>
      </c>
      <c r="C16">
        <v>3324</v>
      </c>
      <c r="D16">
        <v>26</v>
      </c>
      <c r="E16">
        <v>5200</v>
      </c>
      <c r="F16">
        <v>25</v>
      </c>
      <c r="G16" s="1">
        <v>45980.441499942128</v>
      </c>
      <c r="H16" s="1">
        <v>45980.458861053237</v>
      </c>
      <c r="I16" s="1">
        <v>45980.463574641202</v>
      </c>
      <c r="J16">
        <v>6.7875625666666597</v>
      </c>
      <c r="K16">
        <f t="shared" si="0"/>
        <v>7</v>
      </c>
    </row>
    <row r="17" spans="1:11" x14ac:dyDescent="0.2">
      <c r="A17" t="s">
        <v>12</v>
      </c>
      <c r="B17" t="s">
        <v>13</v>
      </c>
      <c r="C17">
        <v>3324</v>
      </c>
      <c r="D17">
        <v>26</v>
      </c>
      <c r="E17">
        <v>5296</v>
      </c>
      <c r="F17">
        <v>26</v>
      </c>
      <c r="G17" s="1">
        <v>45980.441499942128</v>
      </c>
      <c r="H17" s="1">
        <v>45980.459555497684</v>
      </c>
      <c r="I17" s="1">
        <v>45980.464981342593</v>
      </c>
      <c r="J17">
        <v>7.8132056833333303</v>
      </c>
      <c r="K17">
        <f t="shared" si="0"/>
        <v>8</v>
      </c>
    </row>
    <row r="18" spans="1:11" x14ac:dyDescent="0.2">
      <c r="A18" t="s">
        <v>14</v>
      </c>
      <c r="B18" t="s">
        <v>15</v>
      </c>
      <c r="C18">
        <v>1739</v>
      </c>
      <c r="D18">
        <v>9</v>
      </c>
      <c r="E18">
        <v>1800</v>
      </c>
      <c r="F18">
        <v>0</v>
      </c>
      <c r="G18" s="1">
        <v>45980.441500729168</v>
      </c>
      <c r="H18" s="1">
        <v>45980.441500729168</v>
      </c>
      <c r="I18" s="1">
        <v>45980.442204224535</v>
      </c>
      <c r="J18">
        <v>1.0130342833333299</v>
      </c>
      <c r="K18">
        <f t="shared" si="0"/>
        <v>1</v>
      </c>
    </row>
    <row r="19" spans="1:11" x14ac:dyDescent="0.2">
      <c r="A19" t="s">
        <v>14</v>
      </c>
      <c r="B19" t="s">
        <v>15</v>
      </c>
      <c r="C19">
        <v>1739</v>
      </c>
      <c r="D19">
        <v>10</v>
      </c>
      <c r="E19">
        <v>2000</v>
      </c>
      <c r="F19">
        <v>2</v>
      </c>
      <c r="G19" s="1">
        <v>45980.441500729168</v>
      </c>
      <c r="H19" s="1">
        <v>45980.442889618054</v>
      </c>
      <c r="I19" s="1">
        <v>45980.44360525463</v>
      </c>
      <c r="J19">
        <v>1.0305078000000001</v>
      </c>
      <c r="K19">
        <f t="shared" si="0"/>
        <v>1</v>
      </c>
    </row>
    <row r="20" spans="1:11" x14ac:dyDescent="0.2">
      <c r="A20" t="s">
        <v>14</v>
      </c>
      <c r="B20" t="s">
        <v>15</v>
      </c>
      <c r="C20">
        <v>1739</v>
      </c>
      <c r="D20">
        <v>11</v>
      </c>
      <c r="E20">
        <v>2200</v>
      </c>
      <c r="F20">
        <v>3</v>
      </c>
      <c r="G20" s="1">
        <v>45980.441500729168</v>
      </c>
      <c r="H20" s="1">
        <v>45980.443584062501</v>
      </c>
      <c r="I20" s="1">
        <v>45980.445005162037</v>
      </c>
      <c r="J20">
        <v>2.0463743833333301</v>
      </c>
      <c r="K20">
        <f t="shared" si="0"/>
        <v>2</v>
      </c>
    </row>
    <row r="21" spans="1:11" x14ac:dyDescent="0.2">
      <c r="A21" t="s">
        <v>14</v>
      </c>
      <c r="B21" t="s">
        <v>15</v>
      </c>
      <c r="C21">
        <v>1739</v>
      </c>
      <c r="D21">
        <v>12</v>
      </c>
      <c r="E21">
        <v>2400</v>
      </c>
      <c r="F21">
        <v>5</v>
      </c>
      <c r="G21" s="1">
        <v>45980.441500729168</v>
      </c>
      <c r="H21" s="1">
        <v>45980.444972951387</v>
      </c>
      <c r="I21" s="1">
        <v>45980.446405625</v>
      </c>
      <c r="J21">
        <v>2.06304544999999</v>
      </c>
      <c r="K21">
        <f t="shared" si="0"/>
        <v>2</v>
      </c>
    </row>
    <row r="22" spans="1:11" x14ac:dyDescent="0.2">
      <c r="A22" t="s">
        <v>14</v>
      </c>
      <c r="B22" t="s">
        <v>15</v>
      </c>
      <c r="C22">
        <v>1739</v>
      </c>
      <c r="D22">
        <v>13</v>
      </c>
      <c r="E22">
        <v>2600</v>
      </c>
      <c r="F22">
        <v>7</v>
      </c>
      <c r="G22" s="1">
        <v>45980.441500729168</v>
      </c>
      <c r="H22" s="1">
        <v>45980.446361840281</v>
      </c>
      <c r="I22" s="1">
        <v>45980.447456388887</v>
      </c>
      <c r="J22">
        <v>1.57613648333333</v>
      </c>
      <c r="K22">
        <f t="shared" si="0"/>
        <v>2</v>
      </c>
    </row>
    <row r="23" spans="1:11" x14ac:dyDescent="0.2">
      <c r="A23" t="s">
        <v>14</v>
      </c>
      <c r="B23" t="s">
        <v>15</v>
      </c>
      <c r="C23">
        <v>1739</v>
      </c>
      <c r="D23">
        <v>14</v>
      </c>
      <c r="E23">
        <v>2800</v>
      </c>
      <c r="F23">
        <v>11</v>
      </c>
      <c r="G23" s="1">
        <v>45980.441500729168</v>
      </c>
      <c r="H23" s="1">
        <v>45980.449139618053</v>
      </c>
      <c r="I23" s="1">
        <v>45980.44885966435</v>
      </c>
      <c r="J23">
        <v>-0.40314714999999901</v>
      </c>
      <c r="K23">
        <f t="shared" si="0"/>
        <v>0</v>
      </c>
    </row>
    <row r="24" spans="1:11" x14ac:dyDescent="0.2">
      <c r="A24" t="s">
        <v>14</v>
      </c>
      <c r="B24" t="s">
        <v>15</v>
      </c>
      <c r="C24">
        <v>1739</v>
      </c>
      <c r="D24">
        <v>15</v>
      </c>
      <c r="E24">
        <v>3000</v>
      </c>
      <c r="F24">
        <v>13</v>
      </c>
      <c r="G24" s="1">
        <v>45980.441500729168</v>
      </c>
      <c r="H24" s="1">
        <v>45980.450528506946</v>
      </c>
      <c r="I24" s="1">
        <v>45980.450960798611</v>
      </c>
      <c r="J24">
        <v>0.62249843333333299</v>
      </c>
      <c r="K24">
        <f t="shared" si="0"/>
        <v>1</v>
      </c>
    </row>
    <row r="25" spans="1:11" x14ac:dyDescent="0.2">
      <c r="A25" t="s">
        <v>14</v>
      </c>
      <c r="B25" t="s">
        <v>15</v>
      </c>
      <c r="C25">
        <v>1739</v>
      </c>
      <c r="D25">
        <v>16</v>
      </c>
      <c r="E25">
        <v>3200</v>
      </c>
      <c r="F25">
        <v>16</v>
      </c>
      <c r="G25" s="1">
        <v>45980.441500729168</v>
      </c>
      <c r="H25" s="1">
        <v>45980.452611840279</v>
      </c>
      <c r="I25" s="1">
        <v>45980.45306240741</v>
      </c>
      <c r="J25">
        <v>0.64881454999999999</v>
      </c>
      <c r="K25">
        <f t="shared" si="0"/>
        <v>1</v>
      </c>
    </row>
    <row r="26" spans="1:11" x14ac:dyDescent="0.2">
      <c r="A26" t="s">
        <v>14</v>
      </c>
      <c r="B26" t="s">
        <v>15</v>
      </c>
      <c r="C26">
        <v>1739</v>
      </c>
      <c r="D26">
        <v>17</v>
      </c>
      <c r="E26">
        <v>3400</v>
      </c>
      <c r="F26">
        <v>18</v>
      </c>
      <c r="G26" s="1">
        <v>45980.441500729168</v>
      </c>
      <c r="H26" s="1">
        <v>45980.454000729165</v>
      </c>
      <c r="I26" s="1">
        <v>45980.454462685186</v>
      </c>
      <c r="J26">
        <v>0.66520753333333305</v>
      </c>
      <c r="K26">
        <f t="shared" si="0"/>
        <v>1</v>
      </c>
    </row>
    <row r="27" spans="1:11" x14ac:dyDescent="0.2">
      <c r="A27" t="s">
        <v>14</v>
      </c>
      <c r="B27" t="s">
        <v>15</v>
      </c>
      <c r="C27">
        <v>1739</v>
      </c>
      <c r="D27">
        <v>18</v>
      </c>
      <c r="E27">
        <v>3600</v>
      </c>
      <c r="F27">
        <v>20</v>
      </c>
      <c r="G27" s="1">
        <v>45980.441500729168</v>
      </c>
      <c r="H27" s="1">
        <v>45980.455389618059</v>
      </c>
      <c r="I27" s="1">
        <v>45980.454462685186</v>
      </c>
      <c r="J27">
        <v>-1.33479246666666</v>
      </c>
      <c r="K27">
        <f t="shared" si="0"/>
        <v>-1</v>
      </c>
    </row>
    <row r="28" spans="1:11" x14ac:dyDescent="0.2">
      <c r="A28" t="s">
        <v>14</v>
      </c>
      <c r="B28" t="s">
        <v>15</v>
      </c>
      <c r="C28">
        <v>1739</v>
      </c>
      <c r="D28">
        <v>19</v>
      </c>
      <c r="E28">
        <v>3800</v>
      </c>
      <c r="F28">
        <v>30</v>
      </c>
      <c r="G28" s="1">
        <v>45980.441500729168</v>
      </c>
      <c r="H28" s="1">
        <v>45980.462334062497</v>
      </c>
      <c r="I28" s="1">
        <v>45980.460070555557</v>
      </c>
      <c r="J28">
        <v>-3.2594484499999998</v>
      </c>
      <c r="K28">
        <f t="shared" si="0"/>
        <v>-3</v>
      </c>
    </row>
    <row r="29" spans="1:11" x14ac:dyDescent="0.2">
      <c r="A29" t="s">
        <v>16</v>
      </c>
      <c r="B29" t="s">
        <v>17</v>
      </c>
      <c r="C29">
        <v>295</v>
      </c>
      <c r="D29">
        <v>2</v>
      </c>
      <c r="E29">
        <v>400</v>
      </c>
      <c r="F29">
        <v>1</v>
      </c>
      <c r="G29" s="1">
        <v>45980.441500706016</v>
      </c>
      <c r="H29" s="1">
        <v>45980.442195150463</v>
      </c>
      <c r="I29" s="1">
        <v>45980.443260798609</v>
      </c>
      <c r="J29">
        <v>1.53453325</v>
      </c>
      <c r="K29">
        <f t="shared" si="0"/>
        <v>2</v>
      </c>
    </row>
    <row r="30" spans="1:11" x14ac:dyDescent="0.2">
      <c r="A30" t="s">
        <v>16</v>
      </c>
      <c r="B30" t="s">
        <v>17</v>
      </c>
      <c r="C30">
        <v>295</v>
      </c>
      <c r="D30">
        <v>3</v>
      </c>
      <c r="E30">
        <v>600</v>
      </c>
      <c r="F30">
        <v>2</v>
      </c>
      <c r="G30" s="1">
        <v>45980.441500706016</v>
      </c>
      <c r="H30" s="1">
        <v>45980.44288959491</v>
      </c>
      <c r="I30" s="1">
        <v>45980.445011284719</v>
      </c>
      <c r="J30">
        <v>3.0552307833333301</v>
      </c>
      <c r="K30">
        <f t="shared" si="0"/>
        <v>3</v>
      </c>
    </row>
    <row r="31" spans="1:11" x14ac:dyDescent="0.2">
      <c r="A31" t="s">
        <v>16</v>
      </c>
      <c r="B31" t="s">
        <v>17</v>
      </c>
      <c r="C31">
        <v>295</v>
      </c>
      <c r="D31">
        <v>4</v>
      </c>
      <c r="E31">
        <v>800</v>
      </c>
      <c r="F31">
        <v>4</v>
      </c>
      <c r="G31" s="1">
        <v>45980.441500706016</v>
      </c>
      <c r="H31" s="1">
        <v>45980.444278483796</v>
      </c>
      <c r="I31" s="1">
        <v>45980.445711932873</v>
      </c>
      <c r="J31">
        <v>2.06417028333333</v>
      </c>
      <c r="K31">
        <f t="shared" si="0"/>
        <v>2</v>
      </c>
    </row>
    <row r="32" spans="1:11" x14ac:dyDescent="0.2">
      <c r="A32" t="s">
        <v>16</v>
      </c>
      <c r="B32" t="s">
        <v>17</v>
      </c>
      <c r="C32">
        <v>295</v>
      </c>
      <c r="D32">
        <v>5</v>
      </c>
      <c r="E32">
        <v>1000</v>
      </c>
      <c r="F32">
        <v>5</v>
      </c>
      <c r="G32" s="1">
        <v>45980.441500706016</v>
      </c>
      <c r="H32" s="1">
        <v>45980.444972928242</v>
      </c>
      <c r="I32" s="1">
        <v>45980.446412847225</v>
      </c>
      <c r="J32">
        <v>2.0734844333333302</v>
      </c>
      <c r="K32">
        <f t="shared" si="0"/>
        <v>2</v>
      </c>
    </row>
    <row r="33" spans="1:11" x14ac:dyDescent="0.2">
      <c r="A33" t="s">
        <v>16</v>
      </c>
      <c r="B33" t="s">
        <v>17</v>
      </c>
      <c r="C33">
        <v>295</v>
      </c>
      <c r="D33">
        <v>6</v>
      </c>
      <c r="E33">
        <v>1200</v>
      </c>
      <c r="F33">
        <v>6</v>
      </c>
      <c r="G33" s="1">
        <v>45980.441500706016</v>
      </c>
      <c r="H33" s="1">
        <v>45980.445667372682</v>
      </c>
      <c r="I33" s="1">
        <v>45980.44746358796</v>
      </c>
      <c r="J33">
        <v>2.5865532333333299</v>
      </c>
      <c r="K33">
        <f t="shared" si="0"/>
        <v>3</v>
      </c>
    </row>
    <row r="34" spans="1:11" x14ac:dyDescent="0.2">
      <c r="A34" t="s">
        <v>16</v>
      </c>
      <c r="B34" t="s">
        <v>17</v>
      </c>
      <c r="C34">
        <v>295</v>
      </c>
      <c r="D34">
        <v>7</v>
      </c>
      <c r="E34">
        <v>1400</v>
      </c>
      <c r="F34">
        <v>8</v>
      </c>
      <c r="G34" s="1">
        <v>45980.441500706016</v>
      </c>
      <c r="H34" s="1">
        <v>45980.447056261575</v>
      </c>
      <c r="I34" s="1">
        <v>45980.448164456022</v>
      </c>
      <c r="J34">
        <v>1.59580488333333</v>
      </c>
      <c r="K34">
        <f t="shared" si="0"/>
        <v>2</v>
      </c>
    </row>
    <row r="35" spans="1:11" x14ac:dyDescent="0.2">
      <c r="A35" t="s">
        <v>16</v>
      </c>
      <c r="B35" t="s">
        <v>17</v>
      </c>
      <c r="C35">
        <v>295</v>
      </c>
      <c r="D35">
        <v>8</v>
      </c>
      <c r="E35">
        <v>1600</v>
      </c>
      <c r="F35">
        <v>9</v>
      </c>
      <c r="G35" s="1">
        <v>45980.441500706016</v>
      </c>
      <c r="H35" s="1">
        <v>45980.447750706022</v>
      </c>
      <c r="I35" s="1">
        <v>45980.448865613427</v>
      </c>
      <c r="J35">
        <v>1.6054737666666601</v>
      </c>
      <c r="K35">
        <f t="shared" si="0"/>
        <v>2</v>
      </c>
    </row>
    <row r="36" spans="1:11" x14ac:dyDescent="0.2">
      <c r="A36" t="s">
        <v>16</v>
      </c>
      <c r="B36" t="s">
        <v>17</v>
      </c>
      <c r="C36">
        <v>295</v>
      </c>
      <c r="D36">
        <v>9</v>
      </c>
      <c r="E36">
        <v>1800</v>
      </c>
      <c r="F36">
        <v>10</v>
      </c>
      <c r="G36" s="1">
        <v>45980.441500706016</v>
      </c>
      <c r="H36" s="1">
        <v>45980.448445150461</v>
      </c>
      <c r="I36" s="1">
        <v>45980.449565613424</v>
      </c>
      <c r="J36">
        <v>1.6134659999999901</v>
      </c>
      <c r="K36">
        <f t="shared" si="0"/>
        <v>2</v>
      </c>
    </row>
    <row r="37" spans="1:11" x14ac:dyDescent="0.2">
      <c r="A37" t="s">
        <v>16</v>
      </c>
      <c r="B37" t="s">
        <v>17</v>
      </c>
      <c r="C37">
        <v>295</v>
      </c>
      <c r="D37">
        <v>10</v>
      </c>
      <c r="E37">
        <v>2000</v>
      </c>
      <c r="F37">
        <v>11</v>
      </c>
      <c r="G37" s="1">
        <v>45980.441500706016</v>
      </c>
      <c r="H37" s="1">
        <v>45980.449139594908</v>
      </c>
      <c r="I37" s="1">
        <v>45980.450966215278</v>
      </c>
      <c r="J37">
        <v>2.6303428000000002</v>
      </c>
      <c r="K37">
        <f t="shared" si="0"/>
        <v>3</v>
      </c>
    </row>
    <row r="38" spans="1:11" x14ac:dyDescent="0.2">
      <c r="A38" t="s">
        <v>16</v>
      </c>
      <c r="B38" t="s">
        <v>17</v>
      </c>
      <c r="C38">
        <v>295</v>
      </c>
      <c r="D38">
        <v>11</v>
      </c>
      <c r="E38">
        <v>2200</v>
      </c>
      <c r="F38">
        <v>13</v>
      </c>
      <c r="G38" s="1">
        <v>45980.441500706016</v>
      </c>
      <c r="H38" s="1">
        <v>45980.450528483794</v>
      </c>
      <c r="I38" s="1">
        <v>45980.451667604168</v>
      </c>
      <c r="J38">
        <v>1.6403380999999999</v>
      </c>
      <c r="K38">
        <f t="shared" si="0"/>
        <v>2</v>
      </c>
    </row>
    <row r="39" spans="1:11" x14ac:dyDescent="0.2">
      <c r="A39" t="s">
        <v>16</v>
      </c>
      <c r="B39" t="s">
        <v>17</v>
      </c>
      <c r="C39">
        <v>295</v>
      </c>
      <c r="D39">
        <v>12</v>
      </c>
      <c r="E39">
        <v>2400</v>
      </c>
      <c r="F39">
        <v>14</v>
      </c>
      <c r="G39" s="1">
        <v>45980.441500706016</v>
      </c>
      <c r="H39" s="1">
        <v>45980.451222928241</v>
      </c>
      <c r="I39" s="1">
        <v>45980.452367453705</v>
      </c>
      <c r="J39">
        <v>1.64811904999999</v>
      </c>
      <c r="K39">
        <f t="shared" si="0"/>
        <v>2</v>
      </c>
    </row>
    <row r="40" spans="1:11" x14ac:dyDescent="0.2">
      <c r="A40" t="s">
        <v>16</v>
      </c>
      <c r="B40" t="s">
        <v>17</v>
      </c>
      <c r="C40">
        <v>295</v>
      </c>
      <c r="D40">
        <v>13</v>
      </c>
      <c r="E40">
        <v>2600</v>
      </c>
      <c r="F40">
        <v>17</v>
      </c>
      <c r="G40" s="1">
        <v>45980.441500706016</v>
      </c>
      <c r="H40" s="1">
        <v>45980.453306261574</v>
      </c>
      <c r="I40" s="1">
        <v>45980.455867986107</v>
      </c>
      <c r="J40">
        <v>3.6888802166666599</v>
      </c>
      <c r="K40">
        <f t="shared" si="0"/>
        <v>4</v>
      </c>
    </row>
    <row r="41" spans="1:11" x14ac:dyDescent="0.2">
      <c r="A41" t="s">
        <v>16</v>
      </c>
      <c r="B41" t="s">
        <v>17</v>
      </c>
      <c r="C41">
        <v>295</v>
      </c>
      <c r="D41">
        <v>14</v>
      </c>
      <c r="E41">
        <v>2800</v>
      </c>
      <c r="F41">
        <v>18</v>
      </c>
      <c r="G41" s="1">
        <v>45980.441500706016</v>
      </c>
      <c r="H41" s="1">
        <v>45980.45400070602</v>
      </c>
      <c r="I41" s="1">
        <v>45980.462173067128</v>
      </c>
      <c r="J41">
        <v>11.768209300000001</v>
      </c>
      <c r="K41">
        <f t="shared" si="0"/>
        <v>12</v>
      </c>
    </row>
    <row r="42" spans="1:11" x14ac:dyDescent="0.2">
      <c r="A42" t="s">
        <v>16</v>
      </c>
      <c r="B42" t="s">
        <v>17</v>
      </c>
      <c r="C42">
        <v>295</v>
      </c>
      <c r="D42">
        <v>15</v>
      </c>
      <c r="E42">
        <v>3000</v>
      </c>
      <c r="F42">
        <v>20</v>
      </c>
      <c r="G42" s="1">
        <v>45980.441500706016</v>
      </c>
      <c r="H42" s="1">
        <v>45980.455389594907</v>
      </c>
      <c r="I42" s="1">
        <v>45980.463575532405</v>
      </c>
      <c r="J42">
        <v>11.787757300000001</v>
      </c>
      <c r="K42">
        <f t="shared" si="0"/>
        <v>12</v>
      </c>
    </row>
    <row r="43" spans="1:11" x14ac:dyDescent="0.2">
      <c r="A43" t="s">
        <v>16</v>
      </c>
      <c r="B43" t="s">
        <v>17</v>
      </c>
      <c r="C43">
        <v>295</v>
      </c>
      <c r="D43">
        <v>16</v>
      </c>
      <c r="E43">
        <v>3200</v>
      </c>
      <c r="F43">
        <v>22</v>
      </c>
      <c r="G43" s="1">
        <v>45980.441500706016</v>
      </c>
      <c r="H43" s="1">
        <v>45980.456778483793</v>
      </c>
      <c r="I43" s="1">
        <v>45980.464981296296</v>
      </c>
      <c r="J43">
        <v>11.8120463</v>
      </c>
      <c r="K43">
        <f t="shared" si="0"/>
        <v>12</v>
      </c>
    </row>
    <row r="44" spans="1:11" x14ac:dyDescent="0.2">
      <c r="A44" t="s">
        <v>16</v>
      </c>
      <c r="B44" t="s">
        <v>17</v>
      </c>
      <c r="C44">
        <v>295</v>
      </c>
      <c r="D44">
        <v>17</v>
      </c>
      <c r="E44">
        <v>3400</v>
      </c>
      <c r="F44">
        <v>23</v>
      </c>
      <c r="G44" s="1">
        <v>45980.441500706016</v>
      </c>
      <c r="H44" s="1">
        <v>45980.457472928239</v>
      </c>
      <c r="I44" s="1">
        <v>45980.465685104165</v>
      </c>
      <c r="J44">
        <v>11.8255312</v>
      </c>
      <c r="K44">
        <f t="shared" si="0"/>
        <v>12</v>
      </c>
    </row>
    <row r="45" spans="1:11" x14ac:dyDescent="0.2">
      <c r="A45" t="s">
        <v>16</v>
      </c>
      <c r="B45" t="s">
        <v>17</v>
      </c>
      <c r="C45">
        <v>295</v>
      </c>
      <c r="D45">
        <v>18</v>
      </c>
      <c r="E45">
        <v>3600</v>
      </c>
      <c r="F45">
        <v>26</v>
      </c>
      <c r="G45" s="1">
        <v>45980.441500706016</v>
      </c>
      <c r="H45" s="1">
        <v>45980.459556261572</v>
      </c>
      <c r="I45" s="1">
        <v>45980.467097094908</v>
      </c>
      <c r="J45">
        <v>10.858806883333299</v>
      </c>
      <c r="K45">
        <f t="shared" si="0"/>
        <v>11</v>
      </c>
    </row>
    <row r="46" spans="1:11" x14ac:dyDescent="0.2">
      <c r="A46" t="s">
        <v>16</v>
      </c>
      <c r="B46" t="s">
        <v>17</v>
      </c>
      <c r="C46">
        <v>295</v>
      </c>
      <c r="D46">
        <v>19</v>
      </c>
      <c r="E46">
        <v>3800</v>
      </c>
      <c r="F46">
        <v>29</v>
      </c>
      <c r="G46" s="1">
        <v>45980.441500706016</v>
      </c>
      <c r="H46" s="1">
        <v>45980.461639594905</v>
      </c>
      <c r="I46" s="1">
        <v>45980.471329803244</v>
      </c>
      <c r="J46">
        <v>13.9539113333333</v>
      </c>
      <c r="K46">
        <f t="shared" si="0"/>
        <v>14</v>
      </c>
    </row>
    <row r="47" spans="1:11" x14ac:dyDescent="0.2">
      <c r="A47" t="s">
        <v>16</v>
      </c>
      <c r="B47" t="s">
        <v>17</v>
      </c>
      <c r="C47">
        <v>295</v>
      </c>
      <c r="D47">
        <v>20</v>
      </c>
      <c r="E47">
        <v>4000</v>
      </c>
      <c r="F47">
        <v>31</v>
      </c>
      <c r="G47" s="1">
        <v>45980.441500706016</v>
      </c>
      <c r="H47" s="1">
        <v>45980.463028483799</v>
      </c>
      <c r="I47" s="1">
        <v>45980.472742673614</v>
      </c>
      <c r="J47">
        <v>13.9884336833333</v>
      </c>
      <c r="K47">
        <f t="shared" si="0"/>
        <v>14</v>
      </c>
    </row>
    <row r="48" spans="1:11" x14ac:dyDescent="0.2">
      <c r="A48" t="s">
        <v>16</v>
      </c>
      <c r="B48" t="s">
        <v>17</v>
      </c>
      <c r="C48">
        <v>295</v>
      </c>
      <c r="D48">
        <v>21</v>
      </c>
      <c r="E48">
        <v>4200</v>
      </c>
      <c r="F48">
        <v>33</v>
      </c>
      <c r="G48" s="1">
        <v>45980.441500706016</v>
      </c>
      <c r="H48" s="1">
        <v>45980.464417372685</v>
      </c>
      <c r="I48" s="1">
        <v>45980.474157337965</v>
      </c>
      <c r="J48">
        <v>14.0255535333333</v>
      </c>
      <c r="K48">
        <f t="shared" si="0"/>
        <v>14</v>
      </c>
    </row>
    <row r="49" spans="1:11" x14ac:dyDescent="0.2">
      <c r="A49" t="s">
        <v>16</v>
      </c>
      <c r="B49" t="s">
        <v>17</v>
      </c>
      <c r="C49">
        <v>295</v>
      </c>
      <c r="D49">
        <v>22</v>
      </c>
      <c r="E49">
        <v>4400</v>
      </c>
      <c r="F49">
        <v>34</v>
      </c>
      <c r="G49" s="1">
        <v>45980.441500706016</v>
      </c>
      <c r="H49" s="1">
        <v>45980.465111817131</v>
      </c>
      <c r="I49" s="1">
        <v>45980.475218969907</v>
      </c>
      <c r="J49">
        <v>14.554305400000001</v>
      </c>
      <c r="K49">
        <f t="shared" si="0"/>
        <v>15</v>
      </c>
    </row>
    <row r="50" spans="1:11" x14ac:dyDescent="0.2">
      <c r="A50" t="s">
        <v>16</v>
      </c>
      <c r="B50" t="s">
        <v>17</v>
      </c>
      <c r="C50">
        <v>295</v>
      </c>
      <c r="D50">
        <v>23</v>
      </c>
      <c r="E50">
        <v>4600</v>
      </c>
      <c r="F50">
        <v>36</v>
      </c>
      <c r="G50" s="1">
        <v>45980.441500706016</v>
      </c>
      <c r="H50" s="1">
        <v>45980.466500706018</v>
      </c>
      <c r="I50" s="1">
        <v>45980.477335243057</v>
      </c>
      <c r="J50">
        <v>15.601744999999999</v>
      </c>
      <c r="K50">
        <f t="shared" si="0"/>
        <v>16</v>
      </c>
    </row>
    <row r="51" spans="1:11" x14ac:dyDescent="0.2">
      <c r="A51" t="s">
        <v>16</v>
      </c>
      <c r="B51" t="s">
        <v>17</v>
      </c>
      <c r="C51">
        <v>295</v>
      </c>
      <c r="D51">
        <v>24</v>
      </c>
      <c r="E51">
        <v>4800</v>
      </c>
      <c r="F51">
        <v>38</v>
      </c>
      <c r="G51" s="1">
        <v>45980.441500706016</v>
      </c>
      <c r="H51" s="1">
        <v>45980.467889594911</v>
      </c>
      <c r="I51" s="1">
        <v>45980.479093692127</v>
      </c>
      <c r="J51">
        <v>16.133899866666599</v>
      </c>
      <c r="K51">
        <f t="shared" si="0"/>
        <v>16</v>
      </c>
    </row>
    <row r="52" spans="1:11" x14ac:dyDescent="0.2">
      <c r="A52" t="s">
        <v>16</v>
      </c>
      <c r="B52" t="s">
        <v>17</v>
      </c>
      <c r="C52">
        <v>295</v>
      </c>
      <c r="D52">
        <v>25</v>
      </c>
      <c r="E52">
        <v>5000</v>
      </c>
      <c r="F52">
        <v>40</v>
      </c>
      <c r="G52" s="1">
        <v>45980.441500706016</v>
      </c>
      <c r="H52" s="1">
        <v>45980.469278483797</v>
      </c>
      <c r="I52" s="1">
        <v>45980.479450995372</v>
      </c>
      <c r="J52">
        <v>14.648426450000001</v>
      </c>
      <c r="K52">
        <f t="shared" si="0"/>
        <v>15</v>
      </c>
    </row>
    <row r="53" spans="1:11" x14ac:dyDescent="0.2">
      <c r="A53" t="s">
        <v>16</v>
      </c>
      <c r="B53" t="s">
        <v>17</v>
      </c>
      <c r="C53">
        <v>295</v>
      </c>
      <c r="D53">
        <v>26</v>
      </c>
      <c r="E53">
        <v>5200</v>
      </c>
      <c r="F53">
        <v>42</v>
      </c>
      <c r="G53" s="1">
        <v>45980.441500706016</v>
      </c>
      <c r="H53" s="1">
        <v>45980.470667372683</v>
      </c>
      <c r="I53" s="1">
        <v>45980.480862118056</v>
      </c>
      <c r="J53">
        <v>14.680444533333301</v>
      </c>
      <c r="K53">
        <f t="shared" si="0"/>
        <v>15</v>
      </c>
    </row>
    <row r="54" spans="1:11" x14ac:dyDescent="0.2">
      <c r="A54" t="s">
        <v>16</v>
      </c>
      <c r="B54" t="s">
        <v>17</v>
      </c>
      <c r="C54">
        <v>295</v>
      </c>
      <c r="D54">
        <v>27</v>
      </c>
      <c r="E54">
        <v>5400</v>
      </c>
      <c r="F54">
        <v>44</v>
      </c>
      <c r="G54" s="1">
        <v>45980.441500706016</v>
      </c>
      <c r="H54" s="1">
        <v>45980.472056261577</v>
      </c>
      <c r="I54" s="1">
        <v>45980.482275902781</v>
      </c>
      <c r="J54">
        <v>14.716284399999999</v>
      </c>
      <c r="K54">
        <f t="shared" si="0"/>
        <v>15</v>
      </c>
    </row>
    <row r="55" spans="1:11" x14ac:dyDescent="0.2">
      <c r="A55" t="s">
        <v>16</v>
      </c>
      <c r="B55" t="s">
        <v>17</v>
      </c>
      <c r="C55">
        <v>295</v>
      </c>
      <c r="D55">
        <v>28</v>
      </c>
      <c r="E55">
        <v>5600</v>
      </c>
      <c r="F55">
        <v>46</v>
      </c>
      <c r="G55" s="1">
        <v>45980.441500706016</v>
      </c>
      <c r="H55" s="1">
        <v>45980.473445150463</v>
      </c>
      <c r="I55" s="1">
        <v>45980.482982268521</v>
      </c>
      <c r="J55">
        <v>13.7334544166666</v>
      </c>
      <c r="K55">
        <f t="shared" si="0"/>
        <v>14</v>
      </c>
    </row>
    <row r="56" spans="1:11" x14ac:dyDescent="0.2">
      <c r="A56" t="s">
        <v>16</v>
      </c>
      <c r="B56" t="s">
        <v>17</v>
      </c>
      <c r="C56">
        <v>295</v>
      </c>
      <c r="D56">
        <v>29</v>
      </c>
      <c r="E56">
        <v>5800</v>
      </c>
      <c r="F56">
        <v>48</v>
      </c>
      <c r="G56" s="1">
        <v>45980.441500706016</v>
      </c>
      <c r="H56" s="1">
        <v>45980.474834039349</v>
      </c>
      <c r="I56" s="1">
        <v>45980.484391736114</v>
      </c>
      <c r="J56">
        <v>13.763083399999999</v>
      </c>
      <c r="K56">
        <f t="shared" si="0"/>
        <v>14</v>
      </c>
    </row>
    <row r="57" spans="1:11" x14ac:dyDescent="0.2">
      <c r="A57" t="s">
        <v>16</v>
      </c>
      <c r="B57" t="s">
        <v>17</v>
      </c>
      <c r="C57">
        <v>295</v>
      </c>
      <c r="D57">
        <v>30</v>
      </c>
      <c r="E57">
        <v>6000</v>
      </c>
      <c r="F57">
        <v>50</v>
      </c>
      <c r="G57" s="1">
        <v>45980.441500706016</v>
      </c>
      <c r="H57" s="1">
        <v>45980.476222928242</v>
      </c>
      <c r="I57" s="1">
        <v>45980.485100694445</v>
      </c>
      <c r="J57">
        <v>12.783994233333299</v>
      </c>
      <c r="K57">
        <f t="shared" si="0"/>
        <v>13</v>
      </c>
    </row>
    <row r="58" spans="1:11" x14ac:dyDescent="0.2">
      <c r="A58" t="s">
        <v>16</v>
      </c>
      <c r="B58" t="s">
        <v>17</v>
      </c>
      <c r="C58">
        <v>295</v>
      </c>
      <c r="D58">
        <v>31</v>
      </c>
      <c r="E58">
        <v>6200</v>
      </c>
      <c r="F58">
        <v>52</v>
      </c>
      <c r="G58" s="1">
        <v>45980.441500706016</v>
      </c>
      <c r="H58" s="1">
        <v>45980.477611817128</v>
      </c>
      <c r="I58" s="1">
        <v>45980.486514826393</v>
      </c>
      <c r="J58">
        <v>12.820339499999999</v>
      </c>
      <c r="K58">
        <f t="shared" si="0"/>
        <v>13</v>
      </c>
    </row>
    <row r="59" spans="1:11" x14ac:dyDescent="0.2">
      <c r="A59" t="s">
        <v>16</v>
      </c>
      <c r="B59" t="s">
        <v>17</v>
      </c>
      <c r="C59">
        <v>295</v>
      </c>
      <c r="D59">
        <v>32</v>
      </c>
      <c r="E59">
        <v>6400</v>
      </c>
      <c r="F59">
        <v>53</v>
      </c>
      <c r="G59" s="1">
        <v>45980.441500706016</v>
      </c>
      <c r="H59" s="1">
        <v>45980.478306261575</v>
      </c>
      <c r="I59" s="1">
        <v>45980.487221354168</v>
      </c>
      <c r="J59">
        <v>12.837735483333301</v>
      </c>
      <c r="K59">
        <f t="shared" si="0"/>
        <v>13</v>
      </c>
    </row>
    <row r="60" spans="1:11" x14ac:dyDescent="0.2">
      <c r="A60" t="s">
        <v>16</v>
      </c>
      <c r="B60" t="s">
        <v>17</v>
      </c>
      <c r="C60">
        <v>295</v>
      </c>
      <c r="D60">
        <v>33</v>
      </c>
      <c r="E60">
        <v>6600</v>
      </c>
      <c r="F60">
        <v>56</v>
      </c>
      <c r="G60" s="1">
        <v>45980.441500706016</v>
      </c>
      <c r="H60" s="1">
        <v>45980.480389594908</v>
      </c>
      <c r="I60" s="1">
        <v>45980.488629861109</v>
      </c>
      <c r="J60">
        <v>11.8659823666666</v>
      </c>
      <c r="K60">
        <f t="shared" si="0"/>
        <v>12</v>
      </c>
    </row>
    <row r="61" spans="1:11" x14ac:dyDescent="0.2">
      <c r="A61" t="s">
        <v>16</v>
      </c>
      <c r="B61" t="s">
        <v>17</v>
      </c>
      <c r="C61">
        <v>295</v>
      </c>
      <c r="D61">
        <v>34</v>
      </c>
      <c r="E61">
        <v>6800</v>
      </c>
      <c r="F61">
        <v>60</v>
      </c>
      <c r="G61" s="1">
        <v>45980.441500706016</v>
      </c>
      <c r="H61" s="1">
        <v>45980.483167372688</v>
      </c>
      <c r="I61" s="1">
        <v>45980.490746365744</v>
      </c>
      <c r="J61">
        <v>10.9137564833333</v>
      </c>
      <c r="K61">
        <f t="shared" si="0"/>
        <v>11</v>
      </c>
    </row>
    <row r="62" spans="1:11" x14ac:dyDescent="0.2">
      <c r="A62" t="s">
        <v>16</v>
      </c>
      <c r="B62" t="s">
        <v>17</v>
      </c>
      <c r="C62">
        <v>295</v>
      </c>
      <c r="D62">
        <v>37</v>
      </c>
      <c r="E62">
        <v>7400</v>
      </c>
      <c r="F62">
        <v>71</v>
      </c>
      <c r="G62" s="1">
        <v>45980.441500706016</v>
      </c>
      <c r="H62" s="1">
        <v>45980.490806261572</v>
      </c>
      <c r="I62" s="1">
        <v>45980.502019884261</v>
      </c>
      <c r="J62">
        <v>16.147627849999999</v>
      </c>
      <c r="K62">
        <f t="shared" si="0"/>
        <v>16</v>
      </c>
    </row>
    <row r="63" spans="1:11" x14ac:dyDescent="0.2">
      <c r="A63" t="s">
        <v>16</v>
      </c>
      <c r="B63" t="s">
        <v>17</v>
      </c>
      <c r="C63">
        <v>295</v>
      </c>
      <c r="D63">
        <v>38</v>
      </c>
      <c r="E63">
        <v>7600</v>
      </c>
      <c r="F63">
        <v>73</v>
      </c>
      <c r="G63" s="1">
        <v>45980.441500706016</v>
      </c>
      <c r="H63" s="1">
        <v>45980.492195150466</v>
      </c>
      <c r="I63" s="1">
        <v>45980.502019884261</v>
      </c>
      <c r="J63">
        <v>14.147627849999999</v>
      </c>
      <c r="K63">
        <f t="shared" si="0"/>
        <v>14</v>
      </c>
    </row>
    <row r="64" spans="1:11" x14ac:dyDescent="0.2">
      <c r="A64" t="s">
        <v>16</v>
      </c>
      <c r="B64" t="s">
        <v>17</v>
      </c>
      <c r="C64">
        <v>295</v>
      </c>
      <c r="D64">
        <v>39</v>
      </c>
      <c r="E64">
        <v>7800</v>
      </c>
      <c r="F64">
        <v>74</v>
      </c>
      <c r="G64" s="1">
        <v>45980.441500706016</v>
      </c>
      <c r="H64" s="1">
        <v>45980.492889594905</v>
      </c>
      <c r="I64" s="1">
        <v>45980.502019884261</v>
      </c>
      <c r="J64">
        <v>13.147627849999999</v>
      </c>
      <c r="K64">
        <f t="shared" si="0"/>
        <v>13</v>
      </c>
    </row>
    <row r="65" spans="1:11" x14ac:dyDescent="0.2">
      <c r="A65" t="s">
        <v>16</v>
      </c>
      <c r="B65" t="s">
        <v>17</v>
      </c>
      <c r="C65">
        <v>295</v>
      </c>
      <c r="D65">
        <v>40</v>
      </c>
      <c r="E65">
        <v>8000</v>
      </c>
      <c r="F65">
        <v>76</v>
      </c>
      <c r="G65" s="1">
        <v>45980.441500706016</v>
      </c>
      <c r="H65" s="1">
        <v>45980.494278483799</v>
      </c>
      <c r="I65" s="1">
        <v>45980.5034284375</v>
      </c>
      <c r="J65">
        <v>13.1759414666666</v>
      </c>
      <c r="K65">
        <f t="shared" si="0"/>
        <v>13</v>
      </c>
    </row>
    <row r="66" spans="1:11" x14ac:dyDescent="0.2">
      <c r="A66" t="s">
        <v>16</v>
      </c>
      <c r="B66" t="s">
        <v>17</v>
      </c>
      <c r="C66">
        <v>295</v>
      </c>
      <c r="D66">
        <v>41</v>
      </c>
      <c r="E66">
        <v>8200</v>
      </c>
      <c r="F66">
        <v>77</v>
      </c>
      <c r="G66" s="1">
        <v>45980.441500706016</v>
      </c>
      <c r="H66" s="1">
        <v>45980.494972928238</v>
      </c>
      <c r="I66" s="1">
        <v>45980.504483750003</v>
      </c>
      <c r="J66">
        <v>13.6955869833333</v>
      </c>
      <c r="K66">
        <f t="shared" si="0"/>
        <v>14</v>
      </c>
    </row>
    <row r="67" spans="1:11" x14ac:dyDescent="0.2">
      <c r="A67" t="s">
        <v>16</v>
      </c>
      <c r="B67" t="s">
        <v>17</v>
      </c>
      <c r="C67">
        <v>295</v>
      </c>
      <c r="D67">
        <v>42</v>
      </c>
      <c r="E67">
        <v>8400</v>
      </c>
      <c r="F67">
        <v>79</v>
      </c>
      <c r="G67" s="1">
        <v>45980.441500706016</v>
      </c>
      <c r="H67" s="1">
        <v>45980.496361817131</v>
      </c>
      <c r="I67" s="1">
        <v>45980.505540428239</v>
      </c>
      <c r="J67">
        <v>13.217197599999899</v>
      </c>
      <c r="K67">
        <f t="shared" ref="K67" si="1">ROUND(J67,0)</f>
        <v>13</v>
      </c>
    </row>
    <row r="88" spans="7:8" x14ac:dyDescent="0.2">
      <c r="G88" s="1"/>
      <c r="H88" s="1"/>
    </row>
    <row r="122" spans="7:8" x14ac:dyDescent="0.2">
      <c r="G122" s="1"/>
      <c r="H122" s="1"/>
    </row>
    <row r="123" spans="7:8" x14ac:dyDescent="0.2">
      <c r="G123" s="1"/>
      <c r="H123" s="1"/>
    </row>
    <row r="130" spans="7:8" x14ac:dyDescent="0.2">
      <c r="G130" s="1"/>
      <c r="H130" s="1"/>
    </row>
    <row r="131" spans="7:8" x14ac:dyDescent="0.2">
      <c r="G131" s="1"/>
      <c r="H131" s="1"/>
    </row>
    <row r="132" spans="7:8" x14ac:dyDescent="0.2">
      <c r="G132" s="1"/>
      <c r="H132" s="1"/>
    </row>
    <row r="133" spans="7:8" x14ac:dyDescent="0.2">
      <c r="G133" s="1"/>
      <c r="H133" s="1"/>
    </row>
    <row r="134" spans="7:8" x14ac:dyDescent="0.2">
      <c r="G134" s="1"/>
      <c r="H134" s="1"/>
    </row>
    <row r="135" spans="7:8" x14ac:dyDescent="0.2">
      <c r="G135" s="1"/>
      <c r="H135" s="1"/>
    </row>
    <row r="136" spans="7:8" x14ac:dyDescent="0.2">
      <c r="G136" s="1"/>
      <c r="H136" s="1"/>
    </row>
    <row r="137" spans="7:8" x14ac:dyDescent="0.2">
      <c r="G137" s="1"/>
      <c r="H137" s="1"/>
    </row>
    <row r="138" spans="7:8" x14ac:dyDescent="0.2">
      <c r="G138" s="1"/>
      <c r="H138" s="1"/>
    </row>
    <row r="139" spans="7:8" x14ac:dyDescent="0.2">
      <c r="G139" s="1"/>
      <c r="H139" s="1"/>
    </row>
    <row r="140" spans="7:8" x14ac:dyDescent="0.2">
      <c r="G140" s="1"/>
      <c r="H140" s="1"/>
    </row>
    <row r="141" spans="7:8" x14ac:dyDescent="0.2">
      <c r="G141" s="1"/>
      <c r="H141" s="1"/>
    </row>
    <row r="142" spans="7:8" x14ac:dyDescent="0.2">
      <c r="G142" s="1"/>
      <c r="H1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eta_predictions_new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- Prarinwaris Pangprasertgul</cp:lastModifiedBy>
  <dcterms:created xsi:type="dcterms:W3CDTF">2025-11-19T06:43:34Z</dcterms:created>
  <dcterms:modified xsi:type="dcterms:W3CDTF">2025-11-19T06:43:34Z</dcterms:modified>
</cp:coreProperties>
</file>